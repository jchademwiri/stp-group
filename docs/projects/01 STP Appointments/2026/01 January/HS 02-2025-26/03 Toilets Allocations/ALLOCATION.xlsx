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2 Appointment Letters/01 STP Appointments/2026/01 January/HS 02-2025-26/03 Toilets Allocations/"/>
    </mc:Choice>
  </mc:AlternateContent>
  <xr:revisionPtr revIDLastSave="676" documentId="8_{9840C2CD-72F6-42BD-8768-9395E638B49C}" xr6:coauthVersionLast="47" xr6:coauthVersionMax="47" xr10:uidLastSave="{14F61DA2-A82A-40A9-B0E5-667738579D6F}"/>
  <bookViews>
    <workbookView xWindow="-108" yWindow="-108" windowWidth="23256" windowHeight="13896" xr2:uid="{984A4616-2C14-4024-BE22-1685132F50D0}"/>
  </bookViews>
  <sheets>
    <sheet name="ALLOCATION" sheetId="1" r:id="rId1"/>
    <sheet name="Sheet1" sheetId="9" r:id="rId2"/>
    <sheet name="Employees" sheetId="6" r:id="rId3"/>
    <sheet name="Sheet5" sheetId="7" r:id="rId4"/>
    <sheet name="MATERIALS" sheetId="4" r:id="rId5"/>
    <sheet name="CONTACT DETAILS OF COORDINATORS" sheetId="2" r:id="rId6"/>
  </sheets>
  <definedNames>
    <definedName name="_Hlk130909150" localSheetId="5">'CONTACT DETAILS OF COORDINATORS'!$A$4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3" i="1"/>
</calcChain>
</file>

<file path=xl/sharedStrings.xml><?xml version="1.0" encoding="utf-8"?>
<sst xmlns="http://schemas.openxmlformats.org/spreadsheetml/2006/main" count="246" uniqueCount="130">
  <si>
    <t xml:space="preserve">Total number of chemical toilets in operation </t>
  </si>
  <si>
    <t>Region</t>
  </si>
  <si>
    <t xml:space="preserve">Themba View Ext 1 </t>
  </si>
  <si>
    <t>Morokolong/ Marokolong</t>
  </si>
  <si>
    <t>Hammaskraal Portion 9 &amp; 10</t>
  </si>
  <si>
    <t>Soshanguve X - Buffer C</t>
  </si>
  <si>
    <t>Soshanguve X - Buffer D</t>
  </si>
  <si>
    <t>Soshanguve X - Buffer Civcon</t>
  </si>
  <si>
    <t>Dali Mpofu</t>
  </si>
  <si>
    <t>Stinkwater</t>
  </si>
  <si>
    <t xml:space="preserve">Chris Hani </t>
  </si>
  <si>
    <t>Phomolong (Phase 1)</t>
  </si>
  <si>
    <t>RUDIMENTARY SERVICES REGIONAL COORDINATORS</t>
  </si>
  <si>
    <t>Name and Surname</t>
  </si>
  <si>
    <t>Telephone</t>
  </si>
  <si>
    <t>Email</t>
  </si>
  <si>
    <t>Region 2</t>
  </si>
  <si>
    <t>Thokozile Maluka</t>
  </si>
  <si>
    <t>0123584104</t>
  </si>
  <si>
    <t>ThokoM@tshwane.gov.za</t>
  </si>
  <si>
    <t>Greenfields (Lefika camp)</t>
  </si>
  <si>
    <t>Sithembe</t>
  </si>
  <si>
    <t>Stinkwater Ext 10</t>
  </si>
  <si>
    <t>Hammanskraal ext 4</t>
  </si>
  <si>
    <t>Wallmansthall Berlin</t>
  </si>
  <si>
    <t>Rayton</t>
  </si>
  <si>
    <t>Piernaarspoort</t>
  </si>
  <si>
    <t>Pine gel</t>
  </si>
  <si>
    <t>Worksuits</t>
  </si>
  <si>
    <t>Deep Blue toilet cleaner</t>
  </si>
  <si>
    <t>Mop</t>
  </si>
  <si>
    <t>Tissue</t>
  </si>
  <si>
    <t>Shovel</t>
  </si>
  <si>
    <t>Rakes</t>
  </si>
  <si>
    <t>Industrial Brooms</t>
  </si>
  <si>
    <t>High pressure cleaner</t>
  </si>
  <si>
    <t>Water buckets</t>
  </si>
  <si>
    <t>Cloths</t>
  </si>
  <si>
    <t>Refuse bags</t>
  </si>
  <si>
    <t>Gum boots</t>
  </si>
  <si>
    <t>Safety goggles</t>
  </si>
  <si>
    <t>Rainsuit/coat with hood</t>
  </si>
  <si>
    <t>PVC Gloves Elbow length</t>
  </si>
  <si>
    <t>Respirator Masks</t>
  </si>
  <si>
    <t>First aid kits per vehicle</t>
  </si>
  <si>
    <t>Region 5</t>
  </si>
  <si>
    <t>Martha Maluleka- 0601957922</t>
  </si>
  <si>
    <t>Phuti Kololo</t>
  </si>
  <si>
    <t>Phuti Kololo - 0792762850</t>
  </si>
  <si>
    <t>Mmabatho Ngobeni - 0791719490</t>
  </si>
  <si>
    <t>48 x 30</t>
  </si>
  <si>
    <t>Sanitizer</t>
  </si>
  <si>
    <t>Boots</t>
  </si>
  <si>
    <t>Co-ordinators</t>
  </si>
  <si>
    <t xml:space="preserve">TOTAL NUMBER </t>
  </si>
  <si>
    <t>Margaret Mosoma - 076 2285350</t>
  </si>
  <si>
    <t>Thembinkosi Magagula - 0827364325</t>
  </si>
  <si>
    <t>Mavis Phomolong - 0769003000</t>
  </si>
  <si>
    <t>Sonia - 0826491173</t>
  </si>
  <si>
    <t>Councillor Kgopa - +27 73 153 3371</t>
  </si>
  <si>
    <t>Delivered</t>
  </si>
  <si>
    <t>Outstanding</t>
  </si>
  <si>
    <t>Rebecca Mashigo</t>
  </si>
  <si>
    <t>Martha Tshabalala</t>
  </si>
  <si>
    <t>Sibongile Mashiloane</t>
  </si>
  <si>
    <t>Alphinah Sebatjane</t>
  </si>
  <si>
    <t>Lindiwe Mahlangu</t>
  </si>
  <si>
    <t>Phinah Sekhaolelo - 0791756695/Sonia Mabolawa - 0826491173 (Counsellor)</t>
  </si>
  <si>
    <t>EPWP</t>
  </si>
  <si>
    <t>Co-ordinator</t>
  </si>
  <si>
    <t>Name</t>
  </si>
  <si>
    <t>Martha Maluleke</t>
  </si>
  <si>
    <t>ALLOCATION</t>
  </si>
  <si>
    <t>WARD</t>
  </si>
  <si>
    <t xml:space="preserve">Phinah Sekhaolelo </t>
  </si>
  <si>
    <t>Charles Mahlangu</t>
  </si>
  <si>
    <t>Thato Moja</t>
  </si>
  <si>
    <t>Bridget Maila</t>
  </si>
  <si>
    <t>Esther Chauke</t>
  </si>
  <si>
    <t xml:space="preserve"> Annah Ndlovu</t>
  </si>
  <si>
    <t xml:space="preserve"> Tholofelo Tshehlo </t>
  </si>
  <si>
    <t xml:space="preserve">Angelina Ndlela </t>
  </si>
  <si>
    <t>Johannes Sebaimwa</t>
  </si>
  <si>
    <t xml:space="preserve">Floral Makalla </t>
  </si>
  <si>
    <t xml:space="preserve">Gomolemo Ndlovu </t>
  </si>
  <si>
    <t>Dorcas marutlolle</t>
  </si>
  <si>
    <t>Sbongile  Vilakazi</t>
  </si>
  <si>
    <t xml:space="preserve">Ntsako Kubai </t>
  </si>
  <si>
    <t>Tinny Pine</t>
  </si>
  <si>
    <t>Margaret Mosomo</t>
  </si>
  <si>
    <t>Keamogetswe Ntshane</t>
  </si>
  <si>
    <t xml:space="preserve"> Johanna Mthombeni</t>
  </si>
  <si>
    <t>Flora Shongwane</t>
  </si>
  <si>
    <t>Stella Baloyi</t>
  </si>
  <si>
    <t>Patronell Paries</t>
  </si>
  <si>
    <t>Salaminah Matlou</t>
  </si>
  <si>
    <t>Frank Mpinga</t>
  </si>
  <si>
    <t>Tebogo Mashele</t>
  </si>
  <si>
    <t>Mabatho Ngobeni</t>
  </si>
  <si>
    <t>Elsie Mabuso</t>
  </si>
  <si>
    <t>Nono Pualina Moima</t>
  </si>
  <si>
    <t>Mavis Ratlhagane</t>
  </si>
  <si>
    <t>Olivia Khoza</t>
  </si>
  <si>
    <t>Sindile Mamogale</t>
  </si>
  <si>
    <t>Brenda Kubeka</t>
  </si>
  <si>
    <t>Lebogang Tlou</t>
  </si>
  <si>
    <t>Dovhani Mulaudzi</t>
  </si>
  <si>
    <t>Sibongile Mkoko</t>
  </si>
  <si>
    <t>Karabo Ramalepe</t>
  </si>
  <si>
    <t>Philemon Mahasha</t>
  </si>
  <si>
    <t>Sindy Klein</t>
  </si>
  <si>
    <t>Ursula Kgopa</t>
  </si>
  <si>
    <t>Victoria Gumede</t>
  </si>
  <si>
    <t>Joe Makhubela</t>
  </si>
  <si>
    <t>Anna Makgethe</t>
  </si>
  <si>
    <t>Thembinkosi Magagula</t>
  </si>
  <si>
    <t>Agnes phala</t>
  </si>
  <si>
    <t>Martha mashele</t>
  </si>
  <si>
    <t>Tsholofelo Selinah Mogoto</t>
  </si>
  <si>
    <t xml:space="preserve"> Phenki Mmatlwa</t>
  </si>
  <si>
    <t>Promise Lehlae</t>
  </si>
  <si>
    <t>Mr Tswai Wallmantsthal - +27 68 533 9184</t>
  </si>
  <si>
    <t>1st service</t>
  </si>
  <si>
    <t>2nd service</t>
  </si>
  <si>
    <t>Tuesday</t>
  </si>
  <si>
    <t>Monday</t>
  </si>
  <si>
    <t>Friday</t>
  </si>
  <si>
    <t>Thursday</t>
  </si>
  <si>
    <t>Wednesday</t>
  </si>
  <si>
    <t>Sithembe servicing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</si>
</sst>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124">
    <xf numFmtId="0" fontId="0" fillId="0" borderId="0" xfId="0"/>
    <xf numFmtId="0" fontId="3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2" fillId="0" borderId="0" xfId="0" applyFont="1"/>
    <xf numFmtId="0" fontId="10" fillId="0" borderId="0" xfId="0" applyFont="1" applyAlignment="1">
      <alignment vertical="center"/>
    </xf>
    <xf numFmtId="0" fontId="8" fillId="0" borderId="0" xfId="0" applyFont="1"/>
    <xf numFmtId="0" fontId="11" fillId="0" borderId="0" xfId="2"/>
    <xf numFmtId="0" fontId="12" fillId="0" borderId="0" xfId="2" applyFont="1"/>
    <xf numFmtId="0" fontId="13" fillId="0" borderId="5" xfId="2" applyFont="1" applyBorder="1" applyAlignment="1">
      <alignment horizontal="justify" vertical="center" wrapText="1"/>
    </xf>
    <xf numFmtId="0" fontId="13" fillId="0" borderId="6" xfId="2" applyFont="1" applyBorder="1" applyAlignment="1">
      <alignment horizontal="justify" vertical="center" wrapText="1"/>
    </xf>
    <xf numFmtId="0" fontId="14" fillId="0" borderId="7" xfId="2" applyFont="1" applyBorder="1" applyAlignment="1">
      <alignment horizontal="justify" vertical="center" wrapText="1"/>
    </xf>
    <xf numFmtId="0" fontId="14" fillId="0" borderId="7" xfId="2" quotePrefix="1" applyFont="1" applyBorder="1" applyAlignment="1">
      <alignment horizontal="justify" vertical="center" wrapText="1"/>
    </xf>
    <xf numFmtId="0" fontId="6" fillId="0" borderId="0" xfId="1" applyFont="1" applyAlignment="1">
      <alignment vertical="center"/>
    </xf>
    <xf numFmtId="17" fontId="4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6" fillId="2" borderId="8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0" fillId="0" borderId="3" xfId="0" applyBorder="1"/>
    <xf numFmtId="0" fontId="0" fillId="0" borderId="0" xfId="0" quotePrefix="1"/>
    <xf numFmtId="0" fontId="8" fillId="3" borderId="27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0" fillId="4" borderId="30" xfId="0" applyFill="1" applyBorder="1" applyAlignment="1">
      <alignment horizontal="left"/>
    </xf>
    <xf numFmtId="0" fontId="0" fillId="4" borderId="31" xfId="0" applyFill="1" applyBorder="1"/>
    <xf numFmtId="0" fontId="8" fillId="4" borderId="31" xfId="0" applyFont="1" applyFill="1" applyBorder="1"/>
    <xf numFmtId="0" fontId="8" fillId="4" borderId="31" xfId="0" applyFont="1" applyFill="1" applyBorder="1" applyAlignment="1">
      <alignment horizontal="left"/>
    </xf>
    <xf numFmtId="0" fontId="8" fillId="2" borderId="20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6" fillId="2" borderId="34" xfId="1" applyFont="1" applyFill="1" applyBorder="1" applyAlignment="1">
      <alignment vertical="center" wrapText="1"/>
    </xf>
    <xf numFmtId="0" fontId="6" fillId="2" borderId="11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 wrapText="1"/>
    </xf>
    <xf numFmtId="0" fontId="6" fillId="2" borderId="35" xfId="1" applyFont="1" applyFill="1" applyBorder="1" applyAlignment="1">
      <alignment vertical="center"/>
    </xf>
    <xf numFmtId="0" fontId="15" fillId="0" borderId="1" xfId="0" applyFont="1" applyBorder="1" applyAlignment="1">
      <alignment horizontal="center"/>
    </xf>
    <xf numFmtId="0" fontId="6" fillId="2" borderId="10" xfId="0" applyFont="1" applyFill="1" applyBorder="1" applyAlignment="1">
      <alignment horizontal="center" vertical="center" wrapText="1"/>
    </xf>
    <xf numFmtId="17" fontId="9" fillId="0" borderId="0" xfId="0" applyNumberFormat="1" applyFont="1"/>
    <xf numFmtId="17" fontId="9" fillId="0" borderId="2" xfId="0" applyNumberFormat="1" applyFont="1" applyBorder="1"/>
    <xf numFmtId="17" fontId="9" fillId="0" borderId="26" xfId="0" applyNumberFormat="1" applyFont="1" applyBorder="1"/>
    <xf numFmtId="17" fontId="9" fillId="0" borderId="33" xfId="0" applyNumberFormat="1" applyFont="1" applyBorder="1"/>
    <xf numFmtId="0" fontId="0" fillId="0" borderId="0" xfId="0" applyAlignment="1">
      <alignment horizontal="center"/>
    </xf>
    <xf numFmtId="164" fontId="0" fillId="0" borderId="0" xfId="0" applyNumberFormat="1"/>
    <xf numFmtId="164" fontId="4" fillId="2" borderId="8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vertical="top"/>
    </xf>
    <xf numFmtId="0" fontId="6" fillId="2" borderId="34" xfId="1" applyFont="1" applyFill="1" applyBorder="1" applyAlignment="1">
      <alignment vertical="center"/>
    </xf>
    <xf numFmtId="0" fontId="0" fillId="2" borderId="0" xfId="0" applyFill="1"/>
    <xf numFmtId="0" fontId="0" fillId="0" borderId="32" xfId="0" applyBorder="1"/>
    <xf numFmtId="0" fontId="15" fillId="0" borderId="3" xfId="0" applyFont="1" applyBorder="1" applyAlignment="1">
      <alignment horizontal="center"/>
    </xf>
    <xf numFmtId="0" fontId="6" fillId="3" borderId="18" xfId="1" applyFont="1" applyFill="1" applyBorder="1" applyAlignment="1">
      <alignment vertical="center"/>
    </xf>
    <xf numFmtId="0" fontId="6" fillId="3" borderId="19" xfId="1" applyFont="1" applyFill="1" applyBorder="1" applyAlignment="1">
      <alignment vertical="center"/>
    </xf>
    <xf numFmtId="0" fontId="8" fillId="4" borderId="36" xfId="0" applyFont="1" applyFill="1" applyBorder="1"/>
    <xf numFmtId="0" fontId="0" fillId="0" borderId="1" xfId="0" applyBorder="1" applyAlignment="1">
      <alignment horizontal="center"/>
    </xf>
    <xf numFmtId="0" fontId="8" fillId="4" borderId="39" xfId="0" applyFont="1" applyFill="1" applyBorder="1"/>
    <xf numFmtId="0" fontId="6" fillId="3" borderId="16" xfId="1" applyFont="1" applyFill="1" applyBorder="1" applyAlignment="1">
      <alignment vertical="center"/>
    </xf>
    <xf numFmtId="0" fontId="8" fillId="4" borderId="30" xfId="0" applyFont="1" applyFill="1" applyBorder="1"/>
    <xf numFmtId="0" fontId="0" fillId="5" borderId="0" xfId="0" applyFill="1"/>
    <xf numFmtId="0" fontId="6" fillId="5" borderId="8" xfId="0" applyFont="1" applyFill="1" applyBorder="1" applyAlignment="1">
      <alignment horizontal="center" vertical="center" wrapText="1"/>
    </xf>
    <xf numFmtId="0" fontId="2" fillId="5" borderId="0" xfId="0" applyFont="1" applyFill="1"/>
    <xf numFmtId="0" fontId="4" fillId="0" borderId="0" xfId="0" applyFont="1" applyAlignment="1">
      <alignment horizontal="center" vertical="top"/>
    </xf>
    <xf numFmtId="0" fontId="6" fillId="6" borderId="16" xfId="1" applyFont="1" applyFill="1" applyBorder="1" applyAlignment="1">
      <alignment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6" fillId="6" borderId="18" xfId="1" applyFont="1" applyFill="1" applyBorder="1" applyAlignment="1">
      <alignment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18" xfId="1" applyFont="1" applyFill="1" applyBorder="1" applyAlignment="1">
      <alignment vertical="center"/>
    </xf>
    <xf numFmtId="0" fontId="6" fillId="6" borderId="9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6" fillId="0" borderId="0" xfId="1" applyFont="1" applyAlignment="1">
      <alignment vertical="center" wrapText="1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15" fillId="0" borderId="44" xfId="0" applyFont="1" applyBorder="1" applyAlignment="1">
      <alignment horizontal="center"/>
    </xf>
    <xf numFmtId="0" fontId="15" fillId="0" borderId="45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top"/>
    </xf>
    <xf numFmtId="0" fontId="4" fillId="7" borderId="33" xfId="0" applyFont="1" applyFill="1" applyBorder="1" applyAlignment="1">
      <alignment horizontal="center" vertical="top"/>
    </xf>
    <xf numFmtId="0" fontId="4" fillId="7" borderId="26" xfId="0" applyFont="1" applyFill="1" applyBorder="1" applyAlignment="1">
      <alignment horizontal="center" vertical="top"/>
    </xf>
    <xf numFmtId="17" fontId="4" fillId="6" borderId="22" xfId="0" applyNumberFormat="1" applyFont="1" applyFill="1" applyBorder="1" applyAlignment="1">
      <alignment horizontal="center" vertical="center"/>
    </xf>
    <xf numFmtId="17" fontId="4" fillId="6" borderId="23" xfId="0" applyNumberFormat="1" applyFont="1" applyFill="1" applyBorder="1" applyAlignment="1">
      <alignment horizontal="center" vertical="center"/>
    </xf>
    <xf numFmtId="17" fontId="4" fillId="6" borderId="37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top"/>
    </xf>
    <xf numFmtId="0" fontId="4" fillId="0" borderId="33" xfId="0" applyFont="1" applyBorder="1" applyAlignment="1">
      <alignment horizontal="center" vertical="top"/>
    </xf>
    <xf numFmtId="0" fontId="4" fillId="0" borderId="26" xfId="0" applyFont="1" applyBorder="1" applyAlignment="1">
      <alignment horizontal="center" vertical="top"/>
    </xf>
    <xf numFmtId="0" fontId="9" fillId="6" borderId="13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38" xfId="0" applyFont="1" applyFill="1" applyBorder="1" applyAlignment="1">
      <alignment horizontal="center" vertical="center"/>
    </xf>
    <xf numFmtId="17" fontId="4" fillId="2" borderId="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6" borderId="21" xfId="1" applyFont="1" applyFill="1" applyBorder="1" applyAlignment="1">
      <alignment vertical="center"/>
    </xf>
  </cellXfs>
  <cellStyles count="3">
    <cellStyle name="Normal" xfId="0" builtinId="0"/>
    <cellStyle name="Normal 2" xfId="2" xr:uid="{74823251-6A0F-4D0A-8861-9D781EA669FD}"/>
    <cellStyle name="Normal 2 2" xfId="1" xr:uid="{2FF300CA-0F2C-4498-B759-5AE29FB057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F314-4DF8-4CFE-9E6E-43D51FDB99F7}">
  <sheetPr>
    <pageSetUpPr fitToPage="1"/>
  </sheetPr>
  <dimension ref="A1:XEY23"/>
  <sheetViews>
    <sheetView tabSelected="1" workbookViewId="0">
      <selection activeCell="C22" sqref="C22"/>
    </sheetView>
  </sheetViews>
  <sheetFormatPr defaultColWidth="9.109375" defaultRowHeight="14.4" x14ac:dyDescent="0.3"/>
  <cols>
    <col min="1" max="1" width="6.5546875" style="1" customWidth="1"/>
    <col min="2" max="2" width="8.6640625" style="1" bestFit="1" customWidth="1"/>
    <col min="3" max="3" width="29.5546875" style="1" customWidth="1"/>
    <col min="4" max="4" width="15.44140625" style="1" customWidth="1"/>
    <col min="5" max="5" width="18.109375" style="1" customWidth="1"/>
    <col min="6" max="6" width="8.33203125" style="1" hidden="1" customWidth="1"/>
    <col min="7" max="7" width="11.109375" style="1" hidden="1" customWidth="1"/>
    <col min="8" max="8" width="10.88671875" style="2" customWidth="1"/>
    <col min="9" max="9" width="63.5546875" style="1" bestFit="1" customWidth="1"/>
    <col min="10" max="10" width="27.44140625" style="1" bestFit="1" customWidth="1"/>
    <col min="11" max="16379" width="9.109375" style="1"/>
  </cols>
  <sheetData>
    <row r="1" spans="1:10" s="1" customFormat="1" thickBot="1" x14ac:dyDescent="0.35">
      <c r="A1" s="115" t="s">
        <v>0</v>
      </c>
      <c r="B1" s="116"/>
      <c r="C1" s="117"/>
      <c r="H1" s="5"/>
      <c r="I1" s="4"/>
    </row>
    <row r="2" spans="1:10" customFormat="1" ht="15" thickBot="1" x14ac:dyDescent="0.35">
      <c r="E2" s="62" t="s">
        <v>72</v>
      </c>
      <c r="F2" s="26" t="s">
        <v>60</v>
      </c>
      <c r="G2" s="57" t="s">
        <v>61</v>
      </c>
      <c r="H2" s="2"/>
      <c r="I2" s="58" t="s">
        <v>53</v>
      </c>
    </row>
    <row r="3" spans="1:10" customFormat="1" x14ac:dyDescent="0.3">
      <c r="A3" s="16"/>
      <c r="B3" s="103" t="s">
        <v>16</v>
      </c>
      <c r="C3" s="70" t="s">
        <v>2</v>
      </c>
      <c r="D3" s="71" t="s">
        <v>21</v>
      </c>
      <c r="E3" s="72">
        <v>8</v>
      </c>
      <c r="F3" s="72">
        <v>8</v>
      </c>
      <c r="G3" s="80">
        <f>Employees!A1-F3</f>
        <v>0</v>
      </c>
      <c r="H3" s="118">
        <v>596</v>
      </c>
      <c r="I3" s="33" t="s">
        <v>57</v>
      </c>
      <c r="J3" s="1"/>
    </row>
    <row r="4" spans="1:10" customFormat="1" x14ac:dyDescent="0.3">
      <c r="A4" s="16"/>
      <c r="B4" s="104"/>
      <c r="C4" s="77" t="s">
        <v>3</v>
      </c>
      <c r="D4" s="73" t="s">
        <v>21</v>
      </c>
      <c r="E4" s="74">
        <v>11</v>
      </c>
      <c r="F4" s="74">
        <v>11</v>
      </c>
      <c r="G4" s="81">
        <f>Employees!B1-F4</f>
        <v>0</v>
      </c>
      <c r="H4" s="119"/>
      <c r="I4" s="34" t="s">
        <v>46</v>
      </c>
      <c r="J4" s="1"/>
    </row>
    <row r="5" spans="1:10" customFormat="1" x14ac:dyDescent="0.3">
      <c r="A5" s="16"/>
      <c r="B5" s="104"/>
      <c r="C5" s="77" t="s">
        <v>23</v>
      </c>
      <c r="D5" s="73" t="s">
        <v>21</v>
      </c>
      <c r="E5" s="74">
        <v>30</v>
      </c>
      <c r="F5" s="74">
        <v>34</v>
      </c>
      <c r="G5" s="81">
        <f>Employees!C1-F5</f>
        <v>-4</v>
      </c>
      <c r="H5" s="119"/>
      <c r="I5" s="34" t="s">
        <v>55</v>
      </c>
      <c r="J5" s="1"/>
    </row>
    <row r="6" spans="1:10" customFormat="1" x14ac:dyDescent="0.3">
      <c r="A6" s="16"/>
      <c r="B6" s="104"/>
      <c r="C6" s="77" t="s">
        <v>4</v>
      </c>
      <c r="D6" s="73" t="s">
        <v>21</v>
      </c>
      <c r="E6" s="74">
        <v>160</v>
      </c>
      <c r="F6" s="74">
        <v>108</v>
      </c>
      <c r="G6" s="81" t="e">
        <f>Employees!#REF!-F6</f>
        <v>#REF!</v>
      </c>
      <c r="H6" s="119"/>
      <c r="I6" s="34" t="s">
        <v>55</v>
      </c>
      <c r="J6" s="27"/>
    </row>
    <row r="7" spans="1:10" s="6" customFormat="1" x14ac:dyDescent="0.3">
      <c r="A7" s="16"/>
      <c r="B7" s="104"/>
      <c r="C7" s="75" t="s">
        <v>5</v>
      </c>
      <c r="D7" s="76" t="s">
        <v>21</v>
      </c>
      <c r="E7" s="74">
        <v>50</v>
      </c>
      <c r="F7" s="74">
        <v>40</v>
      </c>
      <c r="G7" s="81">
        <f>Employees!E1-F7</f>
        <v>10</v>
      </c>
      <c r="H7" s="119"/>
      <c r="I7" s="35" t="s">
        <v>59</v>
      </c>
      <c r="J7" s="27"/>
    </row>
    <row r="8" spans="1:10" s="6" customFormat="1" x14ac:dyDescent="0.3">
      <c r="A8" s="16"/>
      <c r="B8" s="104"/>
      <c r="C8" s="75" t="s">
        <v>6</v>
      </c>
      <c r="D8" s="76" t="s">
        <v>21</v>
      </c>
      <c r="E8" s="74">
        <v>60</v>
      </c>
      <c r="F8" s="74">
        <v>60</v>
      </c>
      <c r="G8" s="81">
        <f>Employees!F1-F8</f>
        <v>0</v>
      </c>
      <c r="H8" s="119"/>
      <c r="I8" s="35" t="s">
        <v>59</v>
      </c>
    </row>
    <row r="9" spans="1:10" s="6" customFormat="1" ht="15.6" customHeight="1" x14ac:dyDescent="0.3">
      <c r="A9" s="16"/>
      <c r="B9" s="104"/>
      <c r="C9" s="75" t="s">
        <v>7</v>
      </c>
      <c r="D9" s="76" t="s">
        <v>21</v>
      </c>
      <c r="E9" s="74">
        <v>10</v>
      </c>
      <c r="F9" s="74"/>
      <c r="G9" s="81">
        <f>Employees!G1-F9</f>
        <v>10</v>
      </c>
      <c r="H9" s="119"/>
      <c r="I9" s="35" t="s">
        <v>59</v>
      </c>
    </row>
    <row r="10" spans="1:10" s="6" customFormat="1" x14ac:dyDescent="0.3">
      <c r="A10" s="16"/>
      <c r="B10" s="104"/>
      <c r="C10" s="75" t="s">
        <v>8</v>
      </c>
      <c r="D10" s="76" t="s">
        <v>21</v>
      </c>
      <c r="E10" s="74">
        <v>40</v>
      </c>
      <c r="F10" s="74">
        <v>50</v>
      </c>
      <c r="G10" s="81">
        <f>Employees!H1-F10</f>
        <v>-10</v>
      </c>
      <c r="H10" s="119"/>
      <c r="I10" s="35" t="s">
        <v>59</v>
      </c>
    </row>
    <row r="11" spans="1:10" s="6" customFormat="1" x14ac:dyDescent="0.3">
      <c r="A11" s="16"/>
      <c r="B11" s="104"/>
      <c r="C11" s="77" t="s">
        <v>9</v>
      </c>
      <c r="D11" s="73" t="s">
        <v>21</v>
      </c>
      <c r="E11" s="74">
        <v>3</v>
      </c>
      <c r="F11" s="74"/>
      <c r="G11" s="81">
        <f>Employees!I1-F11</f>
        <v>3</v>
      </c>
      <c r="H11" s="119"/>
      <c r="I11" s="35" t="s">
        <v>58</v>
      </c>
    </row>
    <row r="12" spans="1:10" s="6" customFormat="1" x14ac:dyDescent="0.3">
      <c r="A12" s="16"/>
      <c r="B12" s="104"/>
      <c r="C12" s="77" t="s">
        <v>10</v>
      </c>
      <c r="D12" s="73" t="s">
        <v>21</v>
      </c>
      <c r="E12" s="74">
        <v>80</v>
      </c>
      <c r="F12" s="74">
        <v>80</v>
      </c>
      <c r="G12" s="81">
        <f>Employees!J1-F12</f>
        <v>0</v>
      </c>
      <c r="H12" s="119"/>
      <c r="I12" s="35" t="s">
        <v>48</v>
      </c>
    </row>
    <row r="13" spans="1:10" s="6" customFormat="1" x14ac:dyDescent="0.3">
      <c r="A13" s="16"/>
      <c r="B13" s="104"/>
      <c r="C13" s="77" t="s">
        <v>11</v>
      </c>
      <c r="D13" s="73" t="s">
        <v>21</v>
      </c>
      <c r="E13" s="74">
        <v>59</v>
      </c>
      <c r="F13" s="74">
        <v>59</v>
      </c>
      <c r="G13" s="81">
        <f>Employees!K1-F13</f>
        <v>0</v>
      </c>
      <c r="H13" s="119"/>
      <c r="I13" s="36" t="s">
        <v>57</v>
      </c>
    </row>
    <row r="14" spans="1:10" s="6" customFormat="1" x14ac:dyDescent="0.3">
      <c r="A14" s="16"/>
      <c r="B14" s="104"/>
      <c r="C14" s="77" t="s">
        <v>20</v>
      </c>
      <c r="D14" s="73" t="s">
        <v>21</v>
      </c>
      <c r="E14" s="74">
        <v>15</v>
      </c>
      <c r="F14" s="74">
        <v>15</v>
      </c>
      <c r="G14" s="81">
        <f>Employees!L1-F14</f>
        <v>0</v>
      </c>
      <c r="H14" s="119"/>
      <c r="I14" s="35" t="s">
        <v>49</v>
      </c>
    </row>
    <row r="15" spans="1:10" s="6" customFormat="1" ht="15" thickBot="1" x14ac:dyDescent="0.35">
      <c r="A15" s="16"/>
      <c r="B15" s="105"/>
      <c r="C15" s="123" t="s">
        <v>22</v>
      </c>
      <c r="D15" s="78" t="s">
        <v>21</v>
      </c>
      <c r="E15" s="79">
        <v>70</v>
      </c>
      <c r="F15" s="79">
        <v>70</v>
      </c>
      <c r="G15" s="82">
        <f>Employees!M1-F15</f>
        <v>0</v>
      </c>
      <c r="H15" s="120"/>
      <c r="I15" s="63" t="s">
        <v>67</v>
      </c>
    </row>
    <row r="16" spans="1:10" s="6" customFormat="1" x14ac:dyDescent="0.3">
      <c r="A16" s="3"/>
      <c r="B16" s="107" t="s">
        <v>45</v>
      </c>
      <c r="C16" s="64" t="s">
        <v>24</v>
      </c>
      <c r="D16" s="23" t="s">
        <v>21</v>
      </c>
      <c r="E16" s="38">
        <v>22</v>
      </c>
      <c r="F16" s="38">
        <v>15</v>
      </c>
      <c r="G16" s="28">
        <f>Employees!N1-F16</f>
        <v>7</v>
      </c>
      <c r="H16" s="112">
        <v>35</v>
      </c>
      <c r="I16" s="65" t="s">
        <v>121</v>
      </c>
    </row>
    <row r="17" spans="1:9" s="6" customFormat="1" x14ac:dyDescent="0.3">
      <c r="A17" s="3"/>
      <c r="B17" s="108"/>
      <c r="C17" s="59" t="s">
        <v>25</v>
      </c>
      <c r="D17" s="24" t="s">
        <v>21</v>
      </c>
      <c r="E17" s="32">
        <v>1</v>
      </c>
      <c r="F17" s="32">
        <v>1</v>
      </c>
      <c r="G17" s="29">
        <f>Employees!O1-F17</f>
        <v>0</v>
      </c>
      <c r="H17" s="113"/>
      <c r="I17" s="35" t="s">
        <v>56</v>
      </c>
    </row>
    <row r="18" spans="1:9" s="6" customFormat="1" ht="15" thickBot="1" x14ac:dyDescent="0.35">
      <c r="A18" s="3"/>
      <c r="B18" s="109"/>
      <c r="C18" s="60" t="s">
        <v>26</v>
      </c>
      <c r="D18" s="25" t="s">
        <v>21</v>
      </c>
      <c r="E18" s="39">
        <v>12</v>
      </c>
      <c r="F18" s="39">
        <v>12</v>
      </c>
      <c r="G18" s="30">
        <f>Employees!P1-F18</f>
        <v>0</v>
      </c>
      <c r="H18" s="114"/>
      <c r="I18" s="61" t="s">
        <v>56</v>
      </c>
    </row>
    <row r="19" spans="1:9" ht="15.75" customHeight="1" thickBot="1" x14ac:dyDescent="0.35">
      <c r="A19" s="7"/>
      <c r="B19" s="8"/>
      <c r="C19" s="2"/>
      <c r="D19" s="2"/>
      <c r="E19" s="2"/>
      <c r="F19" s="2"/>
      <c r="G19" s="2"/>
    </row>
    <row r="20" spans="1:9" ht="15.75" customHeight="1" thickBot="1" x14ac:dyDescent="0.35">
      <c r="B20" s="110" t="s">
        <v>54</v>
      </c>
      <c r="C20" s="111"/>
      <c r="D20" s="2"/>
      <c r="E20" s="2"/>
      <c r="F20" s="2"/>
      <c r="G20" s="2"/>
    </row>
    <row r="22" spans="1:9" s="1" customFormat="1" ht="13.8" x14ac:dyDescent="0.3"/>
    <row r="23" spans="1:9" s="1" customFormat="1" ht="13.8" x14ac:dyDescent="0.3">
      <c r="H23" s="3"/>
      <c r="I23" s="4"/>
    </row>
  </sheetData>
  <mergeCells count="6">
    <mergeCell ref="B20:C20"/>
    <mergeCell ref="H16:H18"/>
    <mergeCell ref="B16:B18"/>
    <mergeCell ref="A1:C1"/>
    <mergeCell ref="B3:B15"/>
    <mergeCell ref="H3:H15"/>
  </mergeCells>
  <pageMargins left="0.25" right="0.25" top="0.75" bottom="0.75" header="0.3" footer="0.3"/>
  <pageSetup paperSize="9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602B-1065-47B3-BB1E-5BF354135E62}">
  <dimension ref="A1:XEZ23"/>
  <sheetViews>
    <sheetView workbookViewId="0">
      <selection activeCell="J13" sqref="J13"/>
    </sheetView>
  </sheetViews>
  <sheetFormatPr defaultColWidth="9.109375" defaultRowHeight="14.4" x14ac:dyDescent="0.3"/>
  <cols>
    <col min="1" max="1" width="6.5546875" style="1" customWidth="1"/>
    <col min="2" max="2" width="8.6640625" style="1" bestFit="1" customWidth="1"/>
    <col min="3" max="3" width="29.5546875" style="1" customWidth="1"/>
    <col min="4" max="4" width="11.5546875" style="1" bestFit="1" customWidth="1"/>
    <col min="5" max="5" width="15.44140625" style="1" customWidth="1"/>
    <col min="6" max="6" width="18.109375" style="1" customWidth="1"/>
    <col min="7" max="7" width="8.33203125" style="1" hidden="1" customWidth="1"/>
    <col min="8" max="8" width="11.109375" style="1" hidden="1" customWidth="1"/>
    <col min="9" max="9" width="10.88671875" style="2" customWidth="1"/>
    <col min="10" max="10" width="63.5546875" style="1" bestFit="1" customWidth="1"/>
    <col min="11" max="11" width="27.44140625" style="1" bestFit="1" customWidth="1"/>
    <col min="12" max="16380" width="9.109375" style="1"/>
  </cols>
  <sheetData>
    <row r="1" spans="1:11" s="1" customFormat="1" thickBot="1" x14ac:dyDescent="0.35">
      <c r="A1" s="100" t="s">
        <v>129</v>
      </c>
      <c r="B1" s="101"/>
      <c r="C1" s="102"/>
      <c r="D1" s="69"/>
      <c r="I1" s="5"/>
      <c r="J1" s="4"/>
    </row>
    <row r="2" spans="1:11" customFormat="1" ht="15" thickBot="1" x14ac:dyDescent="0.35">
      <c r="D2" s="97" t="s">
        <v>72</v>
      </c>
      <c r="E2" s="98" t="s">
        <v>122</v>
      </c>
      <c r="F2" s="99" t="s">
        <v>123</v>
      </c>
      <c r="I2" s="2"/>
      <c r="J2" s="87"/>
    </row>
    <row r="3" spans="1:11" customFormat="1" x14ac:dyDescent="0.3">
      <c r="A3" s="16"/>
      <c r="B3" s="103" t="s">
        <v>16</v>
      </c>
      <c r="C3" s="70" t="s">
        <v>2</v>
      </c>
      <c r="D3" s="94">
        <v>8</v>
      </c>
      <c r="E3" s="95" t="s">
        <v>124</v>
      </c>
      <c r="F3" s="96" t="s">
        <v>127</v>
      </c>
      <c r="G3" s="88"/>
      <c r="H3" s="88"/>
      <c r="I3" s="106"/>
      <c r="J3" s="89"/>
      <c r="K3" s="1"/>
    </row>
    <row r="4" spans="1:11" customFormat="1" x14ac:dyDescent="0.3">
      <c r="A4" s="16"/>
      <c r="B4" s="104"/>
      <c r="C4" s="77" t="s">
        <v>3</v>
      </c>
      <c r="D4" s="74">
        <v>11</v>
      </c>
      <c r="E4" s="84" t="s">
        <v>124</v>
      </c>
      <c r="F4" s="91" t="s">
        <v>127</v>
      </c>
      <c r="G4" s="88"/>
      <c r="H4" s="88"/>
      <c r="I4" s="106"/>
      <c r="K4" s="1"/>
    </row>
    <row r="5" spans="1:11" customFormat="1" x14ac:dyDescent="0.3">
      <c r="A5" s="16"/>
      <c r="B5" s="104"/>
      <c r="C5" s="77" t="s">
        <v>23</v>
      </c>
      <c r="D5" s="74">
        <v>30</v>
      </c>
      <c r="E5" s="84" t="s">
        <v>124</v>
      </c>
      <c r="F5" s="91" t="s">
        <v>127</v>
      </c>
      <c r="G5" s="88"/>
      <c r="H5" s="88"/>
      <c r="I5" s="106"/>
      <c r="K5" s="1"/>
    </row>
    <row r="6" spans="1:11" customFormat="1" x14ac:dyDescent="0.3">
      <c r="A6" s="16"/>
      <c r="B6" s="104"/>
      <c r="C6" s="77" t="s">
        <v>4</v>
      </c>
      <c r="D6" s="74">
        <v>160</v>
      </c>
      <c r="E6" s="84" t="s">
        <v>125</v>
      </c>
      <c r="F6" s="91" t="s">
        <v>128</v>
      </c>
      <c r="G6" s="88"/>
      <c r="H6" s="88"/>
      <c r="I6" s="106"/>
      <c r="K6" s="27"/>
    </row>
    <row r="7" spans="1:11" s="6" customFormat="1" x14ac:dyDescent="0.3">
      <c r="A7" s="16"/>
      <c r="B7" s="104"/>
      <c r="C7" s="75" t="s">
        <v>5</v>
      </c>
      <c r="D7" s="74">
        <v>50</v>
      </c>
      <c r="E7" s="85" t="s">
        <v>126</v>
      </c>
      <c r="F7" s="91" t="s">
        <v>125</v>
      </c>
      <c r="G7" s="88"/>
      <c r="H7" s="88"/>
      <c r="I7" s="106"/>
      <c r="J7" s="8"/>
      <c r="K7" s="27"/>
    </row>
    <row r="8" spans="1:11" s="6" customFormat="1" x14ac:dyDescent="0.3">
      <c r="A8" s="16"/>
      <c r="B8" s="104"/>
      <c r="C8" s="75" t="s">
        <v>6</v>
      </c>
      <c r="D8" s="74">
        <v>60</v>
      </c>
      <c r="E8" s="85" t="s">
        <v>127</v>
      </c>
      <c r="F8" s="91" t="s">
        <v>125</v>
      </c>
      <c r="G8" s="88"/>
      <c r="H8" s="88"/>
      <c r="I8" s="106"/>
      <c r="J8" s="8"/>
    </row>
    <row r="9" spans="1:11" s="6" customFormat="1" ht="15.6" customHeight="1" x14ac:dyDescent="0.3">
      <c r="A9" s="16"/>
      <c r="B9" s="104"/>
      <c r="C9" s="75" t="s">
        <v>7</v>
      </c>
      <c r="D9" s="74">
        <v>10</v>
      </c>
      <c r="E9" s="85" t="s">
        <v>126</v>
      </c>
      <c r="F9" s="91" t="s">
        <v>125</v>
      </c>
      <c r="G9" s="88"/>
      <c r="H9" s="88"/>
      <c r="I9" s="106"/>
      <c r="J9" s="8"/>
    </row>
    <row r="10" spans="1:11" s="6" customFormat="1" x14ac:dyDescent="0.3">
      <c r="A10" s="16"/>
      <c r="B10" s="104"/>
      <c r="C10" s="75" t="s">
        <v>8</v>
      </c>
      <c r="D10" s="74">
        <v>40</v>
      </c>
      <c r="E10" s="85" t="s">
        <v>126</v>
      </c>
      <c r="F10" s="91" t="s">
        <v>124</v>
      </c>
      <c r="G10" s="88"/>
      <c r="H10" s="88"/>
      <c r="I10" s="106"/>
      <c r="J10" s="8"/>
    </row>
    <row r="11" spans="1:11" s="6" customFormat="1" x14ac:dyDescent="0.3">
      <c r="A11" s="16"/>
      <c r="B11" s="104"/>
      <c r="C11" s="77" t="s">
        <v>9</v>
      </c>
      <c r="D11" s="74">
        <v>3</v>
      </c>
      <c r="E11" s="84" t="s">
        <v>127</v>
      </c>
      <c r="F11" s="91" t="s">
        <v>125</v>
      </c>
      <c r="G11" s="88"/>
      <c r="H11" s="88"/>
      <c r="I11" s="106"/>
      <c r="J11" s="8"/>
    </row>
    <row r="12" spans="1:11" s="6" customFormat="1" x14ac:dyDescent="0.3">
      <c r="A12" s="16"/>
      <c r="B12" s="104"/>
      <c r="C12" s="77" t="s">
        <v>10</v>
      </c>
      <c r="D12" s="74">
        <v>80</v>
      </c>
      <c r="E12" s="84" t="s">
        <v>128</v>
      </c>
      <c r="F12" s="91" t="s">
        <v>126</v>
      </c>
      <c r="G12" s="88"/>
      <c r="H12" s="88"/>
      <c r="I12" s="106"/>
      <c r="J12" s="8"/>
    </row>
    <row r="13" spans="1:11" s="6" customFormat="1" x14ac:dyDescent="0.3">
      <c r="A13" s="16"/>
      <c r="B13" s="104"/>
      <c r="C13" s="77" t="s">
        <v>11</v>
      </c>
      <c r="D13" s="74">
        <v>59</v>
      </c>
      <c r="E13" s="84" t="s">
        <v>128</v>
      </c>
      <c r="F13" s="91" t="s">
        <v>126</v>
      </c>
      <c r="G13" s="88"/>
      <c r="H13" s="88"/>
      <c r="I13" s="106"/>
      <c r="J13" s="90"/>
    </row>
    <row r="14" spans="1:11" s="6" customFormat="1" x14ac:dyDescent="0.3">
      <c r="A14" s="16"/>
      <c r="B14" s="104"/>
      <c r="C14" s="77" t="s">
        <v>20</v>
      </c>
      <c r="D14" s="74">
        <v>15</v>
      </c>
      <c r="E14" s="84" t="s">
        <v>124</v>
      </c>
      <c r="F14" s="91" t="s">
        <v>126</v>
      </c>
      <c r="G14" s="88"/>
      <c r="H14" s="88"/>
      <c r="I14" s="106"/>
      <c r="J14" s="8"/>
    </row>
    <row r="15" spans="1:11" s="6" customFormat="1" ht="15" thickBot="1" x14ac:dyDescent="0.35">
      <c r="A15" s="16"/>
      <c r="B15" s="105"/>
      <c r="C15" s="77" t="s">
        <v>22</v>
      </c>
      <c r="D15" s="79">
        <v>70</v>
      </c>
      <c r="E15" s="84" t="s">
        <v>127</v>
      </c>
      <c r="F15" s="91" t="s">
        <v>126</v>
      </c>
      <c r="G15" s="88"/>
      <c r="H15" s="88"/>
      <c r="I15" s="106"/>
      <c r="J15" s="8"/>
    </row>
    <row r="16" spans="1:11" s="6" customFormat="1" x14ac:dyDescent="0.3">
      <c r="A16" s="3"/>
      <c r="B16" s="107" t="s">
        <v>45</v>
      </c>
      <c r="C16" s="59" t="s">
        <v>24</v>
      </c>
      <c r="D16" s="38">
        <v>22</v>
      </c>
      <c r="E16" s="84" t="s">
        <v>124</v>
      </c>
      <c r="F16" s="91" t="s">
        <v>126</v>
      </c>
      <c r="G16" s="88"/>
      <c r="H16" s="88"/>
      <c r="I16" s="106"/>
      <c r="J16" s="8"/>
    </row>
    <row r="17" spans="1:10" s="6" customFormat="1" x14ac:dyDescent="0.3">
      <c r="A17" s="3"/>
      <c r="B17" s="108"/>
      <c r="C17" s="59" t="s">
        <v>25</v>
      </c>
      <c r="D17" s="32">
        <v>1</v>
      </c>
      <c r="E17" s="84" t="s">
        <v>124</v>
      </c>
      <c r="F17" s="91" t="s">
        <v>126</v>
      </c>
      <c r="G17" s="88"/>
      <c r="H17" s="88"/>
      <c r="I17" s="106"/>
      <c r="J17" s="8"/>
    </row>
    <row r="18" spans="1:10" s="6" customFormat="1" ht="15" thickBot="1" x14ac:dyDescent="0.35">
      <c r="A18" s="3"/>
      <c r="B18" s="109"/>
      <c r="C18" s="60" t="s">
        <v>26</v>
      </c>
      <c r="D18" s="39">
        <v>12</v>
      </c>
      <c r="E18" s="86" t="s">
        <v>124</v>
      </c>
      <c r="F18" s="92" t="s">
        <v>126</v>
      </c>
      <c r="G18" s="88"/>
      <c r="H18" s="88"/>
      <c r="I18" s="106"/>
      <c r="J18" s="8"/>
    </row>
    <row r="19" spans="1:10" ht="15.75" customHeight="1" thickBot="1" x14ac:dyDescent="0.35">
      <c r="A19" s="7"/>
      <c r="B19" s="8"/>
      <c r="C19" s="2"/>
      <c r="D19" s="2"/>
      <c r="E19" s="2"/>
      <c r="F19" s="2"/>
      <c r="G19" s="2"/>
      <c r="H19" s="2"/>
    </row>
    <row r="20" spans="1:10" ht="15.75" customHeight="1" thickBot="1" x14ac:dyDescent="0.35">
      <c r="B20" s="110" t="s">
        <v>54</v>
      </c>
      <c r="C20" s="111"/>
      <c r="D20" s="93"/>
      <c r="E20" s="2"/>
      <c r="F20" s="2"/>
      <c r="G20" s="2"/>
      <c r="H20" s="2"/>
    </row>
    <row r="22" spans="1:10" s="1" customFormat="1" ht="13.8" x14ac:dyDescent="0.3"/>
    <row r="23" spans="1:10" s="1" customFormat="1" ht="13.8" x14ac:dyDescent="0.3">
      <c r="I23" s="3"/>
      <c r="J23" s="4"/>
    </row>
  </sheetData>
  <mergeCells count="6">
    <mergeCell ref="B20:C20"/>
    <mergeCell ref="A1:C1"/>
    <mergeCell ref="B3:B15"/>
    <mergeCell ref="I3:I15"/>
    <mergeCell ref="B16:B18"/>
    <mergeCell ref="I16:I1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1B3C-285F-4AED-8C24-B98E1F989770}">
  <sheetPr>
    <pageSetUpPr fitToPage="1"/>
  </sheetPr>
  <dimension ref="A1:P20"/>
  <sheetViews>
    <sheetView workbookViewId="0">
      <selection activeCell="P9" sqref="P9"/>
    </sheetView>
  </sheetViews>
  <sheetFormatPr defaultRowHeight="14.4" x14ac:dyDescent="0.3"/>
  <cols>
    <col min="1" max="1" width="15.77734375" bestFit="1" customWidth="1"/>
    <col min="2" max="2" width="30.5546875" bestFit="1" customWidth="1"/>
    <col min="3" max="3" width="17.44140625" bestFit="1" customWidth="1"/>
    <col min="4" max="4" width="20.5546875" bestFit="1" customWidth="1"/>
    <col min="5" max="5" width="15" bestFit="1" customWidth="1"/>
    <col min="6" max="6" width="16.88671875" bestFit="1" customWidth="1"/>
    <col min="7" max="7" width="14.5546875" bestFit="1" customWidth="1"/>
    <col min="8" max="8" width="15.21875" bestFit="1" customWidth="1"/>
    <col min="9" max="9" width="9.33203125" bestFit="1" customWidth="1"/>
    <col min="10" max="10" width="17.44140625" bestFit="1" customWidth="1"/>
    <col min="11" max="11" width="22.6640625" bestFit="1" customWidth="1"/>
    <col min="12" max="12" width="22.33203125" bestFit="1" customWidth="1"/>
    <col min="13" max="13" width="27" bestFit="1" customWidth="1"/>
    <col min="14" max="14" width="17.44140625" bestFit="1" customWidth="1"/>
    <col min="15" max="15" width="6.6640625" bestFit="1" customWidth="1"/>
    <col min="16" max="16" width="19.33203125" bestFit="1" customWidth="1"/>
  </cols>
  <sheetData>
    <row r="1" spans="1:16" ht="15" thickBot="1" x14ac:dyDescent="0.35">
      <c r="A1" s="40">
        <v>8</v>
      </c>
      <c r="B1" s="31">
        <v>11</v>
      </c>
      <c r="C1" s="31">
        <v>30</v>
      </c>
      <c r="D1" s="31">
        <v>160</v>
      </c>
      <c r="E1" s="31">
        <v>50</v>
      </c>
      <c r="F1" s="31">
        <v>60</v>
      </c>
      <c r="G1" s="31">
        <v>10</v>
      </c>
      <c r="H1" s="31">
        <v>40</v>
      </c>
      <c r="I1" s="31">
        <v>3</v>
      </c>
      <c r="J1" s="31">
        <v>80</v>
      </c>
      <c r="K1" s="31">
        <v>59</v>
      </c>
      <c r="L1" s="31">
        <v>15</v>
      </c>
      <c r="M1" s="37">
        <v>70</v>
      </c>
      <c r="N1" s="28">
        <v>22</v>
      </c>
      <c r="O1" s="29">
        <v>1</v>
      </c>
      <c r="P1" s="30">
        <v>12</v>
      </c>
    </row>
    <row r="2" spans="1:16" s="56" customFormat="1" ht="27" thickBot="1" x14ac:dyDescent="0.35">
      <c r="A2" s="41" t="s">
        <v>2</v>
      </c>
      <c r="B2" s="42" t="s">
        <v>3</v>
      </c>
      <c r="C2" s="42" t="s">
        <v>23</v>
      </c>
      <c r="D2" s="42" t="s">
        <v>4</v>
      </c>
      <c r="E2" s="43" t="s">
        <v>5</v>
      </c>
      <c r="F2" s="43" t="s">
        <v>6</v>
      </c>
      <c r="G2" s="43" t="s">
        <v>7</v>
      </c>
      <c r="H2" s="43" t="s">
        <v>8</v>
      </c>
      <c r="I2" s="42" t="s">
        <v>9</v>
      </c>
      <c r="J2" s="42" t="s">
        <v>10</v>
      </c>
      <c r="K2" s="42" t="s">
        <v>11</v>
      </c>
      <c r="L2" s="42" t="s">
        <v>20</v>
      </c>
      <c r="M2" s="44" t="s">
        <v>22</v>
      </c>
      <c r="N2" s="55" t="s">
        <v>24</v>
      </c>
      <c r="O2" s="42" t="s">
        <v>25</v>
      </c>
      <c r="P2" s="44" t="s">
        <v>26</v>
      </c>
    </row>
    <row r="3" spans="1:16" x14ac:dyDescent="0.3">
      <c r="B3" s="67" t="s">
        <v>71</v>
      </c>
      <c r="C3" s="8" t="s">
        <v>95</v>
      </c>
      <c r="D3" s="66" t="s">
        <v>89</v>
      </c>
      <c r="E3" s="66" t="s">
        <v>105</v>
      </c>
      <c r="F3" s="66" t="s">
        <v>104</v>
      </c>
      <c r="G3" s="68" t="s">
        <v>111</v>
      </c>
      <c r="H3" s="68" t="s">
        <v>108</v>
      </c>
      <c r="J3" s="66" t="s">
        <v>47</v>
      </c>
      <c r="K3" s="66" t="s">
        <v>101</v>
      </c>
      <c r="L3" t="s">
        <v>97</v>
      </c>
      <c r="M3" s="66" t="s">
        <v>80</v>
      </c>
      <c r="P3" t="s">
        <v>115</v>
      </c>
    </row>
    <row r="4" spans="1:16" x14ac:dyDescent="0.3">
      <c r="C4" t="s">
        <v>117</v>
      </c>
      <c r="D4" s="66" t="s">
        <v>98</v>
      </c>
      <c r="E4" t="s">
        <v>106</v>
      </c>
      <c r="F4" t="s">
        <v>102</v>
      </c>
      <c r="G4" s="6" t="s">
        <v>112</v>
      </c>
      <c r="H4" s="6" t="s">
        <v>109</v>
      </c>
      <c r="J4" t="s">
        <v>81</v>
      </c>
      <c r="K4" t="s">
        <v>99</v>
      </c>
      <c r="L4" t="s">
        <v>116</v>
      </c>
      <c r="M4" t="s">
        <v>75</v>
      </c>
      <c r="P4" t="s">
        <v>120</v>
      </c>
    </row>
    <row r="5" spans="1:16" x14ac:dyDescent="0.3">
      <c r="D5" t="s">
        <v>90</v>
      </c>
      <c r="E5" t="s">
        <v>107</v>
      </c>
      <c r="F5" s="8" t="s">
        <v>103</v>
      </c>
      <c r="G5" s="6" t="s">
        <v>113</v>
      </c>
      <c r="H5" s="6" t="s">
        <v>110</v>
      </c>
      <c r="J5" t="s">
        <v>82</v>
      </c>
      <c r="K5" t="s">
        <v>119</v>
      </c>
      <c r="M5" t="s">
        <v>76</v>
      </c>
    </row>
    <row r="6" spans="1:16" x14ac:dyDescent="0.3">
      <c r="D6" t="s">
        <v>62</v>
      </c>
      <c r="G6" t="s">
        <v>114</v>
      </c>
      <c r="J6" t="s">
        <v>83</v>
      </c>
      <c r="K6" t="s">
        <v>66</v>
      </c>
      <c r="M6" t="s">
        <v>77</v>
      </c>
    </row>
    <row r="7" spans="1:16" x14ac:dyDescent="0.3">
      <c r="D7" t="s">
        <v>91</v>
      </c>
      <c r="J7" s="6" t="s">
        <v>85</v>
      </c>
      <c r="K7" t="s">
        <v>118</v>
      </c>
      <c r="M7" t="s">
        <v>78</v>
      </c>
    </row>
    <row r="8" spans="1:16" x14ac:dyDescent="0.3">
      <c r="D8" t="s">
        <v>63</v>
      </c>
      <c r="J8" t="s">
        <v>86</v>
      </c>
      <c r="K8" t="s">
        <v>100</v>
      </c>
      <c r="M8" t="s">
        <v>79</v>
      </c>
    </row>
    <row r="9" spans="1:16" x14ac:dyDescent="0.3">
      <c r="D9" s="6" t="s">
        <v>92</v>
      </c>
      <c r="J9" s="6" t="s">
        <v>87</v>
      </c>
    </row>
    <row r="10" spans="1:16" x14ac:dyDescent="0.3">
      <c r="D10" t="s">
        <v>93</v>
      </c>
      <c r="J10" t="s">
        <v>88</v>
      </c>
    </row>
    <row r="11" spans="1:16" x14ac:dyDescent="0.3">
      <c r="D11" t="s">
        <v>64</v>
      </c>
      <c r="J11" t="s">
        <v>84</v>
      </c>
    </row>
    <row r="12" spans="1:16" x14ac:dyDescent="0.3">
      <c r="D12" t="s">
        <v>65</v>
      </c>
    </row>
    <row r="13" spans="1:16" x14ac:dyDescent="0.3">
      <c r="D13" t="s">
        <v>94</v>
      </c>
    </row>
    <row r="14" spans="1:16" x14ac:dyDescent="0.3">
      <c r="D14" s="6" t="s">
        <v>96</v>
      </c>
    </row>
    <row r="15" spans="1:16" x14ac:dyDescent="0.3">
      <c r="H15" s="15"/>
    </row>
    <row r="16" spans="1:16" x14ac:dyDescent="0.3">
      <c r="H16" s="15"/>
    </row>
    <row r="17" spans="8:11" x14ac:dyDescent="0.3">
      <c r="H17" s="15"/>
    </row>
    <row r="18" spans="8:11" x14ac:dyDescent="0.3">
      <c r="H18" s="15"/>
    </row>
    <row r="19" spans="8:11" x14ac:dyDescent="0.3">
      <c r="H19" s="83"/>
    </row>
    <row r="20" spans="8:11" x14ac:dyDescent="0.3">
      <c r="K20" s="6"/>
    </row>
  </sheetData>
  <pageMargins left="0.7" right="0.7" top="0.75" bottom="0.75" header="0.3" footer="0.3"/>
  <pageSetup paperSize="9" scale="4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F40D-ABAE-48EA-8894-BC2572C9DD82}">
  <dimension ref="B1:J15"/>
  <sheetViews>
    <sheetView workbookViewId="0">
      <selection activeCell="F6" sqref="F6"/>
    </sheetView>
  </sheetViews>
  <sheetFormatPr defaultRowHeight="14.4" x14ac:dyDescent="0.3"/>
  <cols>
    <col min="2" max="2" width="8.6640625" style="1" bestFit="1" customWidth="1"/>
    <col min="3" max="3" width="8.6640625" style="54" customWidth="1"/>
    <col min="4" max="4" width="29.5546875" style="1" customWidth="1"/>
    <col min="5" max="7" width="16.6640625" style="1" bestFit="1" customWidth="1"/>
    <col min="8" max="8" width="15.44140625" style="1" customWidth="1"/>
    <col min="9" max="9" width="18.109375" style="1" customWidth="1"/>
  </cols>
  <sheetData>
    <row r="1" spans="2:10" ht="15" thickBot="1" x14ac:dyDescent="0.35">
      <c r="B1"/>
      <c r="C1" s="52"/>
      <c r="D1"/>
    </row>
    <row r="2" spans="2:10" ht="15" thickBot="1" x14ac:dyDescent="0.35">
      <c r="B2"/>
      <c r="C2" s="52" t="s">
        <v>73</v>
      </c>
      <c r="D2"/>
      <c r="E2" s="48" t="s">
        <v>68</v>
      </c>
      <c r="F2" s="50" t="s">
        <v>70</v>
      </c>
      <c r="G2" s="49" t="s">
        <v>69</v>
      </c>
      <c r="H2" s="47"/>
      <c r="I2" s="51" t="s">
        <v>72</v>
      </c>
      <c r="J2" s="45" t="s">
        <v>53</v>
      </c>
    </row>
    <row r="3" spans="2:10" x14ac:dyDescent="0.3">
      <c r="B3" s="121" t="s">
        <v>16</v>
      </c>
      <c r="C3" s="53"/>
      <c r="D3" s="20" t="s">
        <v>2</v>
      </c>
      <c r="E3" s="46"/>
      <c r="F3" s="46"/>
      <c r="G3" s="46"/>
      <c r="H3" s="22"/>
      <c r="I3" s="31">
        <v>8</v>
      </c>
      <c r="J3" s="33" t="s">
        <v>57</v>
      </c>
    </row>
    <row r="4" spans="2:10" x14ac:dyDescent="0.3">
      <c r="B4" s="121"/>
      <c r="C4" s="53">
        <v>73</v>
      </c>
      <c r="D4" s="19" t="s">
        <v>3</v>
      </c>
      <c r="E4" s="21">
        <v>1</v>
      </c>
      <c r="F4" s="21" t="s">
        <v>71</v>
      </c>
      <c r="G4" s="21">
        <v>1</v>
      </c>
      <c r="H4" s="21"/>
      <c r="I4" s="31">
        <v>11</v>
      </c>
      <c r="J4" s="34" t="s">
        <v>46</v>
      </c>
    </row>
    <row r="5" spans="2:10" x14ac:dyDescent="0.3">
      <c r="B5" s="121"/>
      <c r="C5" s="53"/>
      <c r="D5" s="19" t="s">
        <v>23</v>
      </c>
      <c r="E5" s="21"/>
      <c r="F5" s="21"/>
      <c r="G5" s="21"/>
      <c r="H5" s="21"/>
      <c r="I5" s="31">
        <v>30</v>
      </c>
      <c r="J5" s="34" t="s">
        <v>55</v>
      </c>
    </row>
    <row r="6" spans="2:10" x14ac:dyDescent="0.3">
      <c r="B6" s="121"/>
      <c r="C6" s="53"/>
      <c r="D6" s="19" t="s">
        <v>4</v>
      </c>
      <c r="E6" s="21"/>
      <c r="F6" s="21"/>
      <c r="G6" s="21"/>
      <c r="H6" s="21"/>
      <c r="I6" s="31">
        <v>160</v>
      </c>
      <c r="J6" s="34" t="s">
        <v>55</v>
      </c>
    </row>
    <row r="7" spans="2:10" x14ac:dyDescent="0.3">
      <c r="B7" s="121"/>
      <c r="C7" s="53"/>
      <c r="D7" s="20" t="s">
        <v>5</v>
      </c>
      <c r="E7" s="22"/>
      <c r="F7" s="22"/>
      <c r="G7" s="22"/>
      <c r="H7" s="22"/>
      <c r="I7" s="31">
        <v>50</v>
      </c>
      <c r="J7" s="35" t="s">
        <v>59</v>
      </c>
    </row>
    <row r="8" spans="2:10" x14ac:dyDescent="0.3">
      <c r="B8" s="121"/>
      <c r="C8" s="53"/>
      <c r="D8" s="20" t="s">
        <v>6</v>
      </c>
      <c r="E8" s="22"/>
      <c r="F8" s="22"/>
      <c r="G8" s="22"/>
      <c r="H8" s="22"/>
      <c r="I8" s="31">
        <v>60</v>
      </c>
      <c r="J8" s="35" t="s">
        <v>59</v>
      </c>
    </row>
    <row r="9" spans="2:10" x14ac:dyDescent="0.3">
      <c r="B9" s="121"/>
      <c r="C9" s="53"/>
      <c r="D9" s="20" t="s">
        <v>7</v>
      </c>
      <c r="E9" s="22"/>
      <c r="F9" s="22"/>
      <c r="G9" s="22"/>
      <c r="H9" s="22"/>
      <c r="I9" s="31">
        <v>10</v>
      </c>
      <c r="J9" s="35" t="s">
        <v>59</v>
      </c>
    </row>
    <row r="10" spans="2:10" x14ac:dyDescent="0.3">
      <c r="B10" s="121"/>
      <c r="C10" s="53"/>
      <c r="D10" s="20" t="s">
        <v>8</v>
      </c>
      <c r="E10" s="22"/>
      <c r="F10" s="22"/>
      <c r="G10" s="22"/>
      <c r="H10" s="22"/>
      <c r="I10" s="31">
        <v>40</v>
      </c>
      <c r="J10" s="35" t="s">
        <v>59</v>
      </c>
    </row>
    <row r="11" spans="2:10" x14ac:dyDescent="0.3">
      <c r="B11" s="121"/>
      <c r="C11" s="53"/>
      <c r="D11" s="19" t="s">
        <v>9</v>
      </c>
      <c r="E11" s="21"/>
      <c r="F11" s="21"/>
      <c r="G11" s="21"/>
      <c r="H11" s="21"/>
      <c r="I11" s="31">
        <v>3</v>
      </c>
      <c r="J11" s="35" t="s">
        <v>58</v>
      </c>
    </row>
    <row r="12" spans="2:10" x14ac:dyDescent="0.3">
      <c r="B12" s="121"/>
      <c r="C12" s="53"/>
      <c r="D12" s="19" t="s">
        <v>10</v>
      </c>
      <c r="E12" s="21"/>
      <c r="F12" s="21"/>
      <c r="G12" s="21"/>
      <c r="H12" s="21"/>
      <c r="I12" s="31">
        <v>80</v>
      </c>
      <c r="J12" s="35" t="s">
        <v>48</v>
      </c>
    </row>
    <row r="13" spans="2:10" x14ac:dyDescent="0.3">
      <c r="B13" s="121"/>
      <c r="C13" s="53"/>
      <c r="D13" s="19" t="s">
        <v>11</v>
      </c>
      <c r="E13" s="21"/>
      <c r="F13" s="21"/>
      <c r="G13" s="21"/>
      <c r="H13" s="21"/>
      <c r="I13" s="31">
        <v>59</v>
      </c>
      <c r="J13" s="36" t="s">
        <v>57</v>
      </c>
    </row>
    <row r="14" spans="2:10" x14ac:dyDescent="0.3">
      <c r="B14" s="121"/>
      <c r="C14" s="53"/>
      <c r="D14" s="19" t="s">
        <v>20</v>
      </c>
      <c r="E14" s="21"/>
      <c r="F14" s="21"/>
      <c r="G14" s="21"/>
      <c r="H14" s="21"/>
      <c r="I14" s="31">
        <v>15</v>
      </c>
      <c r="J14" s="35" t="s">
        <v>49</v>
      </c>
    </row>
    <row r="15" spans="2:10" x14ac:dyDescent="0.3">
      <c r="B15" s="121"/>
      <c r="C15" s="53"/>
      <c r="D15" s="19" t="s">
        <v>22</v>
      </c>
      <c r="E15" s="21"/>
      <c r="F15" s="21"/>
      <c r="G15" s="21" t="s">
        <v>74</v>
      </c>
      <c r="H15" s="21"/>
      <c r="I15" s="31">
        <v>70</v>
      </c>
      <c r="J15" s="35" t="s">
        <v>67</v>
      </c>
    </row>
  </sheetData>
  <mergeCells count="1">
    <mergeCell ref="B3:B1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CDCB-8984-4F57-910D-DAE9B22D8C1F}">
  <dimension ref="A1:H17"/>
  <sheetViews>
    <sheetView workbookViewId="0">
      <selection activeCell="E26" sqref="E26"/>
    </sheetView>
  </sheetViews>
  <sheetFormatPr defaultRowHeight="14.4" x14ac:dyDescent="0.3"/>
  <cols>
    <col min="1" max="1" width="21.5546875" bestFit="1" customWidth="1"/>
  </cols>
  <sheetData>
    <row r="1" spans="1:8" x14ac:dyDescent="0.3">
      <c r="A1" t="s">
        <v>34</v>
      </c>
      <c r="B1">
        <v>50</v>
      </c>
      <c r="D1" s="122" t="s">
        <v>28</v>
      </c>
      <c r="E1" s="122"/>
      <c r="G1" s="122" t="s">
        <v>52</v>
      </c>
      <c r="H1" s="122"/>
    </row>
    <row r="2" spans="1:8" x14ac:dyDescent="0.3">
      <c r="A2" t="s">
        <v>27</v>
      </c>
      <c r="B2">
        <v>30</v>
      </c>
      <c r="D2" s="17">
        <v>34</v>
      </c>
      <c r="E2" s="17">
        <v>50</v>
      </c>
      <c r="G2" s="17">
        <v>4</v>
      </c>
      <c r="H2" s="17">
        <v>10</v>
      </c>
    </row>
    <row r="3" spans="1:8" x14ac:dyDescent="0.3">
      <c r="A3" t="s">
        <v>42</v>
      </c>
      <c r="B3">
        <v>50</v>
      </c>
      <c r="D3" s="17">
        <v>36</v>
      </c>
      <c r="E3" s="17">
        <v>50</v>
      </c>
      <c r="G3" s="17">
        <v>5</v>
      </c>
      <c r="H3" s="17">
        <v>10</v>
      </c>
    </row>
    <row r="4" spans="1:8" x14ac:dyDescent="0.3">
      <c r="A4" t="s">
        <v>29</v>
      </c>
      <c r="B4">
        <v>20</v>
      </c>
      <c r="D4" s="17">
        <v>40</v>
      </c>
      <c r="E4" s="17">
        <v>50</v>
      </c>
      <c r="G4" s="17">
        <v>6</v>
      </c>
      <c r="H4" s="17">
        <v>10</v>
      </c>
    </row>
    <row r="5" spans="1:8" x14ac:dyDescent="0.3">
      <c r="A5" t="s">
        <v>30</v>
      </c>
      <c r="B5">
        <v>50</v>
      </c>
      <c r="D5" s="17">
        <v>42</v>
      </c>
      <c r="E5" s="17">
        <v>50</v>
      </c>
      <c r="G5" s="17">
        <v>7</v>
      </c>
      <c r="H5" s="17">
        <v>10</v>
      </c>
    </row>
    <row r="6" spans="1:8" x14ac:dyDescent="0.3">
      <c r="A6" t="s">
        <v>43</v>
      </c>
      <c r="B6">
        <v>50</v>
      </c>
      <c r="G6" s="17">
        <v>8</v>
      </c>
      <c r="H6" s="17">
        <v>10</v>
      </c>
    </row>
    <row r="7" spans="1:8" x14ac:dyDescent="0.3">
      <c r="A7" t="s">
        <v>31</v>
      </c>
      <c r="B7" s="18" t="s">
        <v>50</v>
      </c>
      <c r="G7" s="17">
        <v>9</v>
      </c>
      <c r="H7" s="17">
        <v>10</v>
      </c>
    </row>
    <row r="8" spans="1:8" x14ac:dyDescent="0.3">
      <c r="A8" t="s">
        <v>32</v>
      </c>
      <c r="B8">
        <v>40</v>
      </c>
      <c r="G8" s="17">
        <v>11</v>
      </c>
      <c r="H8" s="17">
        <v>10</v>
      </c>
    </row>
    <row r="9" spans="1:8" x14ac:dyDescent="0.3">
      <c r="A9" t="s">
        <v>33</v>
      </c>
      <c r="B9">
        <v>40</v>
      </c>
      <c r="D9" s="122" t="s">
        <v>39</v>
      </c>
      <c r="E9" s="122" t="s">
        <v>39</v>
      </c>
    </row>
    <row r="10" spans="1:8" x14ac:dyDescent="0.3">
      <c r="A10" t="s">
        <v>35</v>
      </c>
      <c r="D10" s="17">
        <v>4</v>
      </c>
      <c r="E10" s="17">
        <v>10</v>
      </c>
    </row>
    <row r="11" spans="1:8" x14ac:dyDescent="0.3">
      <c r="A11" t="s">
        <v>36</v>
      </c>
      <c r="B11">
        <v>50</v>
      </c>
      <c r="D11" s="17">
        <v>5</v>
      </c>
      <c r="E11" s="17">
        <v>10</v>
      </c>
    </row>
    <row r="12" spans="1:8" x14ac:dyDescent="0.3">
      <c r="A12" t="s">
        <v>37</v>
      </c>
      <c r="B12">
        <v>50</v>
      </c>
      <c r="D12" s="17">
        <v>6</v>
      </c>
      <c r="E12" s="17">
        <v>10</v>
      </c>
    </row>
    <row r="13" spans="1:8" x14ac:dyDescent="0.3">
      <c r="A13" t="s">
        <v>38</v>
      </c>
      <c r="B13">
        <v>30</v>
      </c>
      <c r="D13" s="17">
        <v>7</v>
      </c>
      <c r="E13" s="17">
        <v>10</v>
      </c>
    </row>
    <row r="14" spans="1:8" x14ac:dyDescent="0.3">
      <c r="A14" t="s">
        <v>40</v>
      </c>
      <c r="B14">
        <v>50</v>
      </c>
      <c r="D14" s="17">
        <v>8</v>
      </c>
      <c r="E14" s="17">
        <v>10</v>
      </c>
    </row>
    <row r="15" spans="1:8" x14ac:dyDescent="0.3">
      <c r="A15" t="s">
        <v>41</v>
      </c>
      <c r="B15">
        <v>50</v>
      </c>
      <c r="D15" s="17">
        <v>9</v>
      </c>
      <c r="E15" s="17">
        <v>10</v>
      </c>
    </row>
    <row r="16" spans="1:8" x14ac:dyDescent="0.3">
      <c r="A16" t="s">
        <v>44</v>
      </c>
      <c r="B16">
        <v>2</v>
      </c>
      <c r="D16" s="17">
        <v>11</v>
      </c>
      <c r="E16" s="17">
        <v>10</v>
      </c>
    </row>
    <row r="17" spans="1:2" x14ac:dyDescent="0.3">
      <c r="A17" t="s">
        <v>51</v>
      </c>
      <c r="B17">
        <v>50</v>
      </c>
    </row>
  </sheetData>
  <mergeCells count="3">
    <mergeCell ref="D1:E1"/>
    <mergeCell ref="G1:H1"/>
    <mergeCell ref="D9:E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4D25-F262-43EC-A642-0D7E2B69C086}">
  <dimension ref="A1:D5"/>
  <sheetViews>
    <sheetView workbookViewId="0">
      <selection activeCell="B4" sqref="B4"/>
    </sheetView>
  </sheetViews>
  <sheetFormatPr defaultColWidth="9.33203125" defaultRowHeight="14.4" x14ac:dyDescent="0.3"/>
  <cols>
    <col min="1" max="1" width="11.44140625" style="9" customWidth="1"/>
    <col min="2" max="2" width="22.109375" style="9" customWidth="1"/>
    <col min="3" max="3" width="24.5546875" style="9" customWidth="1"/>
    <col min="4" max="4" width="33.109375" style="9" customWidth="1"/>
    <col min="5" max="16384" width="9.33203125" style="9"/>
  </cols>
  <sheetData>
    <row r="1" spans="1:4" ht="21" x14ac:dyDescent="0.4">
      <c r="B1" s="10" t="s">
        <v>12</v>
      </c>
    </row>
    <row r="2" spans="1:4" ht="15" thickBot="1" x14ac:dyDescent="0.35"/>
    <row r="3" spans="1:4" ht="16.2" thickBot="1" x14ac:dyDescent="0.35">
      <c r="A3" s="11" t="s">
        <v>1</v>
      </c>
      <c r="B3" s="12" t="s">
        <v>13</v>
      </c>
      <c r="C3" s="12" t="s">
        <v>14</v>
      </c>
      <c r="D3" s="12" t="s">
        <v>15</v>
      </c>
    </row>
    <row r="4" spans="1:4" ht="15.6" thickBot="1" x14ac:dyDescent="0.35">
      <c r="A4" s="13" t="s">
        <v>16</v>
      </c>
      <c r="B4" s="13" t="s">
        <v>17</v>
      </c>
      <c r="C4" s="14" t="s">
        <v>18</v>
      </c>
      <c r="D4" s="13" t="s">
        <v>19</v>
      </c>
    </row>
    <row r="5" spans="1:4" ht="15" x14ac:dyDescent="0.3">
      <c r="A5" s="13"/>
      <c r="B5" s="13"/>
      <c r="C5" s="14"/>
      <c r="D5" s="1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Props1.xml><?xml version="1.0" encoding="utf-8"?>
<ds:datastoreItem xmlns:ds="http://schemas.openxmlformats.org/officeDocument/2006/customXml" ds:itemID="{E16CEF1A-21D4-468C-8D9C-9C98A41E40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E4E2C9-D081-4966-93CA-829986E552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9095EB-0D3F-4001-B6B4-C86A178DEAA7}">
  <ds:schemaRefs>
    <ds:schemaRef ds:uri="http://schemas.microsoft.com/office/2006/metadata/properties"/>
    <ds:schemaRef ds:uri="http://schemas.microsoft.com/office/infopath/2007/PartnerControls"/>
    <ds:schemaRef ds:uri="f62d4ef4-b04a-4b31-a502-7b4d1ae74549"/>
    <ds:schemaRef ds:uri="3e1fb217-3513-4a84-b39a-87d8fab7c42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ALLOCATION</vt:lpstr>
      <vt:lpstr>Sheet1</vt:lpstr>
      <vt:lpstr>Employees</vt:lpstr>
      <vt:lpstr>Sheet5</vt:lpstr>
      <vt:lpstr>MATERIALS</vt:lpstr>
      <vt:lpstr>CONTACT DETAILS OF COORDINATORS</vt:lpstr>
      <vt:lpstr>'CONTACT DETAILS OF COORDINATORS'!_Hlk130909150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Mafona J. Legodi</dc:creator>
  <cp:lastModifiedBy>Sithembe Operations</cp:lastModifiedBy>
  <cp:lastPrinted>2026-03-27T09:13:48Z</cp:lastPrinted>
  <dcterms:created xsi:type="dcterms:W3CDTF">2024-01-22T08:59:28Z</dcterms:created>
  <dcterms:modified xsi:type="dcterms:W3CDTF">2026-04-10T12:10:31Z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b8b282-039c-4268-b238-c39b5146964b_Enabled">
    <vt:lpwstr>true</vt:lpwstr>
  </property>
  <property fmtid="{D5CDD505-2E9C-101B-9397-08002B2CF9AE}" pid="3" name="MSIP_Label_06b8b282-039c-4268-b238-c39b5146964b_SetDate">
    <vt:lpwstr>2024-01-22T09:20:18Z</vt:lpwstr>
  </property>
  <property fmtid="{D5CDD505-2E9C-101B-9397-08002B2CF9AE}" pid="4" name="MSIP_Label_06b8b282-039c-4268-b238-c39b5146964b_Method">
    <vt:lpwstr>Standard</vt:lpwstr>
  </property>
  <property fmtid="{D5CDD505-2E9C-101B-9397-08002B2CF9AE}" pid="5" name="MSIP_Label_06b8b282-039c-4268-b238-c39b5146964b_Name">
    <vt:lpwstr>COT General</vt:lpwstr>
  </property>
  <property fmtid="{D5CDD505-2E9C-101B-9397-08002B2CF9AE}" pid="6" name="MSIP_Label_06b8b282-039c-4268-b238-c39b5146964b_SiteId">
    <vt:lpwstr>611657a8-674f-4ffa-bf4b-95a387d65525</vt:lpwstr>
  </property>
  <property fmtid="{D5CDD505-2E9C-101B-9397-08002B2CF9AE}" pid="7" name="MSIP_Label_06b8b282-039c-4268-b238-c39b5146964b_ActionId">
    <vt:lpwstr>f09fcaf9-012e-47e4-a673-3e6d22a6d862</vt:lpwstr>
  </property>
  <property fmtid="{D5CDD505-2E9C-101B-9397-08002B2CF9AE}" pid="8" name="MSIP_Label_06b8b282-039c-4268-b238-c39b5146964b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0x0101004F889B8502A024479EA1CF80A2D6DF12</vt:lpwstr>
  </property>
</Properties>
</file>