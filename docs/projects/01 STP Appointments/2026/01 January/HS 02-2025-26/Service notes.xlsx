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1 - 2025-26/01 Projects/02 Appointment Letters/01 STP Appointments/2026/01 January/HS 02-2025-26/"/>
    </mc:Choice>
  </mc:AlternateContent>
  <xr:revisionPtr revIDLastSave="0" documentId="8_{CFF6BBBD-9FF6-45F0-9050-8B72E506A4FA}" xr6:coauthVersionLast="47" xr6:coauthVersionMax="47" xr10:uidLastSave="{00000000-0000-0000-0000-000000000000}"/>
  <bookViews>
    <workbookView xWindow="-108" yWindow="-108" windowWidth="23256" windowHeight="13896" tabRatio="870" xr2:uid="{00000000-000D-0000-FFFF-FFFF00000000}"/>
  </bookViews>
  <sheets>
    <sheet name="Quote" sheetId="11" r:id="rId1"/>
    <sheet name="Invoice" sheetId="12" r:id="rId2"/>
  </sheets>
  <definedNames>
    <definedName name="_xlnm.Print_Area" localSheetId="1">Invoice!$A$1:$H$30</definedName>
    <definedName name="_xlnm.Print_Area" localSheetId="0">Quote!$A$1:$H$32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2" l="1"/>
  <c r="E13" i="12"/>
  <c r="D13" i="12"/>
  <c r="C13" i="12"/>
  <c r="F12" i="12"/>
  <c r="E12" i="12"/>
  <c r="D12" i="12"/>
  <c r="C12" i="12"/>
  <c r="A12" i="12"/>
  <c r="A13" i="12" s="1"/>
  <c r="P11" i="12"/>
  <c r="O11" i="12"/>
  <c r="G11" i="12" s="1"/>
  <c r="M11" i="12"/>
  <c r="L11" i="12"/>
  <c r="K11" i="12"/>
  <c r="I11" i="12"/>
  <c r="C11" i="12"/>
  <c r="B29" i="12"/>
  <c r="H11" i="12" l="1"/>
  <c r="G12" i="12"/>
  <c r="G13" i="12"/>
  <c r="H12" i="12"/>
  <c r="I14" i="12" s="1"/>
  <c r="I16" i="12" s="1"/>
  <c r="H13" i="12"/>
  <c r="H16" i="12"/>
  <c r="H17" i="12" s="1"/>
  <c r="H18" i="12" s="1"/>
</calcChain>
</file>

<file path=xl/sharedStrings.xml><?xml version="1.0" encoding="utf-8"?>
<sst xmlns="http://schemas.openxmlformats.org/spreadsheetml/2006/main" count="97" uniqueCount="67">
  <si>
    <t>Date:</t>
  </si>
  <si>
    <t>CITY OF TSHWANE</t>
  </si>
  <si>
    <t>Customer VAT No: 4000142267</t>
  </si>
  <si>
    <t>0001</t>
  </si>
  <si>
    <t>Banking Details</t>
  </si>
  <si>
    <t>Total Exclusive</t>
  </si>
  <si>
    <t>Acc Holder:</t>
  </si>
  <si>
    <t>Sithembe Transportation &amp; Projects</t>
  </si>
  <si>
    <t>Total VAT @15%</t>
  </si>
  <si>
    <t xml:space="preserve">Acc Number: </t>
  </si>
  <si>
    <t>Total Inclusive</t>
  </si>
  <si>
    <t xml:space="preserve">Branch Code: </t>
  </si>
  <si>
    <t>Signature:</t>
  </si>
  <si>
    <t>Reference:</t>
  </si>
  <si>
    <t>Standard Bank</t>
  </si>
  <si>
    <t>Bank Name:</t>
  </si>
  <si>
    <t>Service Provider</t>
  </si>
  <si>
    <t>City of Tshwane Official</t>
  </si>
  <si>
    <t>Tender Number:</t>
  </si>
  <si>
    <t>Vendor Number:</t>
  </si>
  <si>
    <t>101776</t>
  </si>
  <si>
    <t>RATE</t>
  </si>
  <si>
    <t>SATUDAYS</t>
  </si>
  <si>
    <t>SS 01 - 2023-24</t>
  </si>
  <si>
    <t>Region 3</t>
  </si>
  <si>
    <t>Water &amp; Sanitation</t>
  </si>
  <si>
    <t>Capital Towers</t>
  </si>
  <si>
    <t>Business Cheque Account</t>
  </si>
  <si>
    <t>Account Type:</t>
  </si>
  <si>
    <t xml:space="preserve">Date: </t>
  </si>
  <si>
    <t>REG NUMBERS</t>
  </si>
  <si>
    <t>NORMAL</t>
  </si>
  <si>
    <t>AMOUNT</t>
  </si>
  <si>
    <t>AREA</t>
  </si>
  <si>
    <t>Quote Number:</t>
  </si>
  <si>
    <t>Quote Period:</t>
  </si>
  <si>
    <t>SUNDAYS &amp; PUBLIC HOLIDAYS</t>
  </si>
  <si>
    <t>OVERTIME HOURS</t>
  </si>
  <si>
    <t>TAX INVOICE</t>
  </si>
  <si>
    <t>HOURLY RATE</t>
  </si>
  <si>
    <t>NORMAL HOURS</t>
  </si>
  <si>
    <t>SATURDAYS</t>
  </si>
  <si>
    <t>SUNDAYS</t>
  </si>
  <si>
    <t>OT/HRS/PER/DAY</t>
  </si>
  <si>
    <t>ACTUAL HOURS</t>
  </si>
  <si>
    <t>O/T HOURS</t>
  </si>
  <si>
    <t>VAT No:</t>
  </si>
  <si>
    <t>4070272101</t>
  </si>
  <si>
    <t>BG 47 HZ GP</t>
  </si>
  <si>
    <t>BV 58 CF GP</t>
  </si>
  <si>
    <t>CP 15 DC GP</t>
  </si>
  <si>
    <t>REGION 7 - BRONKHORSPRUIT</t>
  </si>
  <si>
    <t>JANUARY</t>
  </si>
  <si>
    <t>01 TO 31 JANUARY</t>
  </si>
  <si>
    <t>STP/INV/26/0329</t>
  </si>
  <si>
    <t>SERVICE NOTE</t>
  </si>
  <si>
    <t>Site Name</t>
  </si>
  <si>
    <t>Unit ID</t>
  </si>
  <si>
    <t>Name and surname</t>
  </si>
  <si>
    <t>-----------------------------------------------------------------------------------------------</t>
  </si>
  <si>
    <t>----------------------------------------------------------------------------------------</t>
  </si>
  <si>
    <t>HS 02 – 2025/26</t>
  </si>
  <si>
    <t>Service Type</t>
  </si>
  <si>
    <t>Pump &amp; Clean</t>
  </si>
  <si>
    <t>Number of toilets onsite</t>
  </si>
  <si>
    <t>City of Tshwane Official (Co-ordinator)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</si>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</sst>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&quot;* #,##0.00_-;\-&quot;R&quot;* #,##0.00_-;_-&quot;R&quot;* &quot;-&quot;??_-;_-@_-"/>
    <numFmt numFmtId="164" formatCode="[$-F800]dddd\,\ mmmm\ dd\,\ yyyy"/>
    <numFmt numFmtId="165" formatCode="[$R-1C09]#,##0.00"/>
    <numFmt numFmtId="166" formatCode="_-[$R-1C09]* #,##0.00_-;\-[$R-1C09]* #,##0.00_-;_-[$R-1C09]* &quot;-&quot;??_-;_-@_-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1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quotePrefix="1" applyFont="1" applyAlignment="1">
      <alignment horizontal="left"/>
    </xf>
    <xf numFmtId="0" fontId="4" fillId="0" borderId="0" xfId="0" applyFont="1"/>
    <xf numFmtId="0" fontId="1" fillId="0" borderId="0" xfId="0" applyFont="1" applyAlignment="1">
      <alignment horizontal="right"/>
    </xf>
    <xf numFmtId="166" fontId="1" fillId="0" borderId="0" xfId="0" applyNumberFormat="1" applyFont="1"/>
    <xf numFmtId="0" fontId="3" fillId="0" borderId="0" xfId="0" quotePrefix="1" applyFont="1"/>
    <xf numFmtId="0" fontId="5" fillId="0" borderId="0" xfId="0" applyFont="1"/>
    <xf numFmtId="165" fontId="4" fillId="0" borderId="1" xfId="0" applyNumberFormat="1" applyFont="1" applyBorder="1"/>
    <xf numFmtId="166" fontId="0" fillId="0" borderId="0" xfId="0" applyNumberFormat="1"/>
    <xf numFmtId="165" fontId="0" fillId="0" borderId="0" xfId="0" applyNumberFormat="1"/>
    <xf numFmtId="0" fontId="5" fillId="0" borderId="2" xfId="0" applyFont="1" applyBorder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166" fontId="1" fillId="0" borderId="4" xfId="0" applyNumberFormat="1" applyFont="1" applyBorder="1"/>
    <xf numFmtId="166" fontId="1" fillId="0" borderId="5" xfId="0" applyNumberFormat="1" applyFont="1" applyBorder="1"/>
    <xf numFmtId="166" fontId="1" fillId="0" borderId="6" xfId="0" applyNumberFormat="1" applyFont="1" applyBorder="1"/>
    <xf numFmtId="0" fontId="4" fillId="0" borderId="2" xfId="0" applyFont="1" applyBorder="1"/>
    <xf numFmtId="0" fontId="6" fillId="0" borderId="0" xfId="0" applyFont="1"/>
    <xf numFmtId="0" fontId="8" fillId="0" borderId="1" xfId="0" applyFont="1" applyBorder="1"/>
    <xf numFmtId="0" fontId="7" fillId="0" borderId="0" xfId="0" applyFont="1"/>
    <xf numFmtId="165" fontId="4" fillId="0" borderId="0" xfId="0" applyNumberFormat="1" applyFont="1"/>
    <xf numFmtId="0" fontId="5" fillId="0" borderId="0" xfId="0" applyFont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right" vertical="center" wrapText="1"/>
    </xf>
    <xf numFmtId="44" fontId="0" fillId="0" borderId="0" xfId="1" applyFont="1"/>
    <xf numFmtId="165" fontId="4" fillId="0" borderId="14" xfId="0" applyNumberFormat="1" applyFont="1" applyBorder="1"/>
    <xf numFmtId="0" fontId="0" fillId="0" borderId="15" xfId="0" applyBorder="1"/>
    <xf numFmtId="0" fontId="0" fillId="0" borderId="16" xfId="0" applyBorder="1"/>
    <xf numFmtId="0" fontId="5" fillId="0" borderId="17" xfId="0" applyFont="1" applyBorder="1" applyAlignment="1">
      <alignment horizontal="right" vertical="center"/>
    </xf>
    <xf numFmtId="0" fontId="5" fillId="0" borderId="18" xfId="0" applyFont="1" applyBorder="1" applyAlignment="1">
      <alignment horizontal="right" vertical="center"/>
    </xf>
    <xf numFmtId="0" fontId="5" fillId="0" borderId="19" xfId="0" applyFont="1" applyBorder="1" applyAlignment="1">
      <alignment horizontal="right" vertical="center"/>
    </xf>
    <xf numFmtId="0" fontId="0" fillId="0" borderId="20" xfId="0" applyBorder="1" applyAlignment="1">
      <alignment vertical="center"/>
    </xf>
    <xf numFmtId="0" fontId="5" fillId="0" borderId="21" xfId="0" applyFont="1" applyBorder="1"/>
    <xf numFmtId="0" fontId="5" fillId="0" borderId="17" xfId="0" applyFont="1" applyBorder="1" applyAlignment="1">
      <alignment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18" xfId="0" applyFont="1" applyBorder="1" applyAlignment="1">
      <alignment vertical="center" wrapText="1"/>
    </xf>
    <xf numFmtId="0" fontId="5" fillId="0" borderId="19" xfId="0" applyFont="1" applyBorder="1" applyAlignment="1">
      <alignment horizontal="right" vertical="center" wrapText="1"/>
    </xf>
    <xf numFmtId="0" fontId="5" fillId="0" borderId="22" xfId="0" applyFont="1" applyBorder="1"/>
    <xf numFmtId="16" fontId="5" fillId="0" borderId="22" xfId="0" applyNumberFormat="1" applyFont="1" applyBorder="1" applyAlignment="1">
      <alignment horizontal="left"/>
    </xf>
    <xf numFmtId="0" fontId="0" fillId="0" borderId="24" xfId="0" applyBorder="1" applyAlignment="1">
      <alignment vertical="center"/>
    </xf>
    <xf numFmtId="0" fontId="8" fillId="0" borderId="25" xfId="0" applyFont="1" applyBorder="1"/>
    <xf numFmtId="165" fontId="4" fillId="0" borderId="25" xfId="0" applyNumberFormat="1" applyFont="1" applyBorder="1"/>
    <xf numFmtId="0" fontId="0" fillId="0" borderId="25" xfId="0" applyBorder="1" applyAlignment="1">
      <alignment vertical="center"/>
    </xf>
    <xf numFmtId="0" fontId="4" fillId="0" borderId="25" xfId="0" applyFont="1" applyBorder="1" applyAlignment="1">
      <alignment horizontal="right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44" fontId="4" fillId="0" borderId="23" xfId="1" applyFont="1" applyBorder="1"/>
    <xf numFmtId="44" fontId="4" fillId="0" borderId="5" xfId="1" applyFont="1" applyBorder="1"/>
    <xf numFmtId="44" fontId="4" fillId="0" borderId="6" xfId="1" applyFont="1" applyBorder="1"/>
    <xf numFmtId="0" fontId="0" fillId="0" borderId="0" xfId="0"/>
    <xf numFmtId="0" fontId="5" fillId="0" borderId="2" xfId="0" applyFont="1" applyBorder="1"/>
    <xf numFmtId="0" fontId="3" fillId="0" borderId="0" xfId="0" quotePrefix="1" applyFont="1" applyAlignment="1">
      <alignment horizontal="left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4" fillId="0" borderId="0" xfId="0" applyFont="1"/>
    <xf numFmtId="16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164" fontId="4" fillId="0" borderId="2" xfId="0" applyNumberFormat="1" applyFont="1" applyBorder="1"/>
    <xf numFmtId="0" fontId="4" fillId="0" borderId="2" xfId="0" applyFont="1" applyBorder="1"/>
    <xf numFmtId="0" fontId="4" fillId="0" borderId="0" xfId="0" applyFont="1" applyAlignment="1">
      <alignment horizontal="right" wrapText="1"/>
    </xf>
    <xf numFmtId="0" fontId="4" fillId="0" borderId="0" xfId="0" quotePrefix="1" applyFont="1" applyAlignment="1">
      <alignment horizontal="right"/>
    </xf>
    <xf numFmtId="164" fontId="4" fillId="0" borderId="0" xfId="0" quotePrefix="1" applyNumberFormat="1" applyFont="1" applyAlignment="1">
      <alignment horizontal="right"/>
    </xf>
    <xf numFmtId="0" fontId="4" fillId="0" borderId="0" xfId="0" quotePrefix="1" applyFont="1"/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3" fillId="0" borderId="0" xfId="0" applyFont="1" applyAlignment="1">
      <alignment horizontal="left"/>
    </xf>
    <xf numFmtId="0" fontId="5" fillId="0" borderId="26" xfId="0" applyFont="1" applyBorder="1" applyAlignment="1">
      <alignment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27" xfId="0" applyFont="1" applyBorder="1" applyAlignment="1">
      <alignment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right" vertical="center" wrapText="1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right" vertical="center" wrapText="1"/>
    </xf>
    <xf numFmtId="0" fontId="7" fillId="0" borderId="1" xfId="0" applyFont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3" fillId="0" borderId="1" xfId="0" applyFont="1" applyBorder="1"/>
    <xf numFmtId="0" fontId="1" fillId="0" borderId="1" xfId="0" applyFont="1" applyBorder="1" applyAlignment="1">
      <alignment horizontal="right"/>
    </xf>
    <xf numFmtId="0" fontId="3" fillId="0" borderId="1" xfId="0" quotePrefix="1" applyFont="1" applyBorder="1"/>
    <xf numFmtId="0" fontId="3" fillId="0" borderId="1" xfId="0" quotePrefix="1" applyFont="1" applyBorder="1" applyAlignment="1">
      <alignment horizontal="left"/>
    </xf>
    <xf numFmtId="0" fontId="0" fillId="0" borderId="1" xfId="0" applyBorder="1"/>
    <xf numFmtId="0" fontId="5" fillId="0" borderId="0" xfId="0" applyFont="1" applyBorder="1"/>
    <xf numFmtId="0" fontId="5" fillId="0" borderId="0" xfId="0" quotePrefix="1" applyFont="1"/>
    <xf numFmtId="0" fontId="1" fillId="0" borderId="1" xfId="0" applyFont="1" applyBorder="1" applyAlignment="1"/>
    <xf numFmtId="0" fontId="3" fillId="0" borderId="1" xfId="0" applyFont="1" applyBorder="1" applyAlignment="1"/>
    <xf numFmtId="0" fontId="3" fillId="0" borderId="1" xfId="0" quotePrefix="1" applyFont="1" applyBorder="1" applyAlignment="1"/>
    <xf numFmtId="0" fontId="0" fillId="0" borderId="1" xfId="0" applyBorder="1" applyAlignment="1"/>
    <xf numFmtId="0" fontId="1" fillId="0" borderId="29" xfId="0" applyFont="1" applyBorder="1"/>
    <xf numFmtId="0" fontId="4" fillId="0" borderId="20" xfId="0" applyFont="1" applyBorder="1"/>
    <xf numFmtId="44" fontId="5" fillId="0" borderId="5" xfId="1" applyFont="1" applyBorder="1" applyAlignment="1">
      <alignment horizontal="right" vertical="center" wrapText="1"/>
    </xf>
    <xf numFmtId="0" fontId="1" fillId="0" borderId="20" xfId="0" applyFont="1" applyBorder="1"/>
    <xf numFmtId="0" fontId="3" fillId="0" borderId="20" xfId="0" applyFont="1" applyBorder="1"/>
    <xf numFmtId="0" fontId="0" fillId="0" borderId="5" xfId="0" applyBorder="1"/>
    <xf numFmtId="0" fontId="3" fillId="0" borderId="24" xfId="0" applyFont="1" applyBorder="1"/>
    <xf numFmtId="0" fontId="0" fillId="0" borderId="25" xfId="0" applyBorder="1" applyAlignment="1"/>
    <xf numFmtId="0" fontId="4" fillId="0" borderId="25" xfId="0" applyFont="1" applyBorder="1" applyAlignment="1">
      <alignment horizontal="center" vertical="center" wrapText="1"/>
    </xf>
    <xf numFmtId="0" fontId="3" fillId="0" borderId="25" xfId="0" applyFont="1" applyBorder="1"/>
    <xf numFmtId="0" fontId="1" fillId="0" borderId="25" xfId="0" applyFont="1" applyBorder="1" applyAlignment="1">
      <alignment horizontal="right"/>
    </xf>
    <xf numFmtId="164" fontId="4" fillId="0" borderId="30" xfId="0" applyNumberFormat="1" applyFont="1" applyBorder="1" applyAlignment="1">
      <alignment horizontal="right"/>
    </xf>
    <xf numFmtId="164" fontId="4" fillId="0" borderId="31" xfId="0" applyNumberFormat="1" applyFont="1" applyBorder="1" applyAlignment="1">
      <alignment horizontal="right"/>
    </xf>
    <xf numFmtId="0" fontId="4" fillId="0" borderId="30" xfId="0" applyFont="1" applyBorder="1" applyAlignment="1">
      <alignment horizontal="right"/>
    </xf>
    <xf numFmtId="0" fontId="4" fillId="0" borderId="31" xfId="0" applyFont="1" applyBorder="1" applyAlignment="1">
      <alignment horizontal="right"/>
    </xf>
  </cellXfs>
  <cellStyles count="2">
    <cellStyle name="Currency" xfId="1" builtinId="4"/>
    <cellStyle name="Normal" xfId="0" builtinId="0"/>
  </cellStyles>
  <dxfs count="8">
    <dxf>
      <font>
        <strike/>
        <color theme="0" tint="-0.34998626667073579"/>
      </font>
    </dxf>
    <dxf>
      <font>
        <strike/>
        <color theme="0" tint="-0.34998626667073579"/>
      </font>
    </dxf>
    <dxf>
      <font>
        <color rgb="FF00B050"/>
      </font>
    </dxf>
    <dxf>
      <font>
        <strike/>
        <color theme="0" tint="-0.34998626667073579"/>
      </font>
    </dxf>
    <dxf>
      <font>
        <strike/>
        <color theme="0" tint="-0.34998626667073579"/>
      </font>
    </dxf>
    <dxf>
      <font>
        <strike/>
        <color theme="0" tint="-0.34998626667073579"/>
      </font>
    </dxf>
    <dxf>
      <font>
        <color rgb="FF00B050"/>
      </font>
    </dxf>
    <dxf>
      <font>
        <strike/>
        <color theme="0" tint="-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599846</xdr:colOff>
      <xdr:row>23</xdr:row>
      <xdr:rowOff>84667</xdr:rowOff>
    </xdr:from>
    <xdr:to>
      <xdr:col>1</xdr:col>
      <xdr:colOff>518160</xdr:colOff>
      <xdr:row>26</xdr:row>
      <xdr:rowOff>97770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42543D-BE56-4763-8A06-80EB46B94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846" y="15118927"/>
          <a:ext cx="1731874" cy="5617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82763-B449-4787-ADA9-115BA110E10A}">
  <sheetPr>
    <pageSetUpPr fitToPage="1"/>
  </sheetPr>
  <dimension ref="A1:H31"/>
  <sheetViews>
    <sheetView showGridLines="0" tabSelected="1" view="pageBreakPreview" zoomScaleNormal="100" zoomScaleSheetLayoutView="100" workbookViewId="0">
      <selection activeCell="A9" sqref="A9"/>
    </sheetView>
  </sheetViews>
  <sheetFormatPr defaultRowHeight="14.4" x14ac:dyDescent="0.3"/>
  <cols>
    <col min="1" max="1" width="26.44140625" bestFit="1" customWidth="1"/>
    <col min="2" max="2" width="17.5546875" bestFit="1" customWidth="1"/>
    <col min="3" max="3" width="8.88671875" bestFit="1" customWidth="1"/>
    <col min="4" max="4" width="16.77734375" customWidth="1"/>
    <col min="5" max="5" width="9.5546875" customWidth="1"/>
    <col min="6" max="6" width="11.21875" bestFit="1" customWidth="1"/>
    <col min="7" max="7" width="9.44140625" customWidth="1"/>
    <col min="8" max="8" width="19" bestFit="1" customWidth="1"/>
  </cols>
  <sheetData>
    <row r="1" spans="1:8" ht="23.4" x14ac:dyDescent="0.45">
      <c r="A1" s="1"/>
      <c r="B1" s="2"/>
      <c r="C1" s="2"/>
      <c r="D1" s="2"/>
      <c r="E1" s="2"/>
      <c r="F1" s="2"/>
      <c r="G1" s="63" t="s">
        <v>55</v>
      </c>
      <c r="H1" s="63"/>
    </row>
    <row r="2" spans="1:8" ht="15" thickBot="1" x14ac:dyDescent="0.35">
      <c r="A2" s="60" t="s">
        <v>1</v>
      </c>
      <c r="B2" s="60"/>
      <c r="C2" s="2"/>
      <c r="D2" s="60"/>
      <c r="E2" s="60"/>
      <c r="F2" s="60"/>
      <c r="G2" s="62"/>
      <c r="H2" s="62"/>
    </row>
    <row r="3" spans="1:8" ht="15" thickBot="1" x14ac:dyDescent="0.35">
      <c r="A3" s="60" t="s">
        <v>2</v>
      </c>
      <c r="B3" s="60"/>
      <c r="C3" s="2"/>
      <c r="D3" s="60" t="s">
        <v>0</v>
      </c>
      <c r="E3" s="60"/>
      <c r="F3" s="60"/>
      <c r="G3" s="108"/>
      <c r="H3" s="109"/>
    </row>
    <row r="4" spans="1:8" x14ac:dyDescent="0.3">
      <c r="A4" s="60" t="s">
        <v>24</v>
      </c>
      <c r="B4" s="60"/>
      <c r="C4" s="5"/>
      <c r="D4" s="60" t="s">
        <v>46</v>
      </c>
      <c r="E4" s="60"/>
      <c r="F4" s="60"/>
      <c r="G4" s="68" t="s">
        <v>47</v>
      </c>
      <c r="H4" s="68"/>
    </row>
    <row r="5" spans="1:8" ht="14.4" customHeight="1" x14ac:dyDescent="0.3">
      <c r="A5" s="60" t="s">
        <v>25</v>
      </c>
      <c r="B5" s="60"/>
      <c r="C5" s="5"/>
      <c r="D5" s="60" t="s">
        <v>18</v>
      </c>
      <c r="E5" s="60"/>
      <c r="F5" s="60"/>
      <c r="G5" s="66" t="s">
        <v>61</v>
      </c>
      <c r="H5" s="66"/>
    </row>
    <row r="6" spans="1:8" ht="15" thickBot="1" x14ac:dyDescent="0.35">
      <c r="A6" s="60" t="s">
        <v>26</v>
      </c>
      <c r="B6" s="60"/>
      <c r="C6" s="5"/>
      <c r="D6" s="60" t="s">
        <v>19</v>
      </c>
      <c r="E6" s="60"/>
      <c r="F6" s="60"/>
      <c r="G6" s="67" t="s">
        <v>20</v>
      </c>
      <c r="H6" s="67"/>
    </row>
    <row r="7" spans="1:8" ht="15" thickBot="1" x14ac:dyDescent="0.35">
      <c r="A7" s="69" t="s">
        <v>3</v>
      </c>
      <c r="B7" s="69"/>
      <c r="C7" s="5"/>
      <c r="D7" s="60" t="s">
        <v>64</v>
      </c>
      <c r="E7" s="60"/>
      <c r="F7" s="60"/>
      <c r="G7" s="110"/>
      <c r="H7" s="111"/>
    </row>
    <row r="8" spans="1:8" ht="15" thickBot="1" x14ac:dyDescent="0.35">
      <c r="A8" s="9"/>
      <c r="B8" s="15"/>
      <c r="C8" s="5"/>
      <c r="D8" s="5"/>
      <c r="E8" s="5"/>
      <c r="F8" s="5"/>
      <c r="G8" s="5"/>
      <c r="H8" s="14"/>
    </row>
    <row r="9" spans="1:8" x14ac:dyDescent="0.3">
      <c r="A9" s="75" t="s">
        <v>66</v>
      </c>
      <c r="B9" s="76" t="s">
        <v>56</v>
      </c>
      <c r="C9" s="77" t="s">
        <v>57</v>
      </c>
      <c r="D9" s="97" t="s">
        <v>62</v>
      </c>
      <c r="E9" s="78"/>
      <c r="F9" s="78"/>
      <c r="G9" s="78"/>
      <c r="H9" s="79"/>
    </row>
    <row r="10" spans="1:8" ht="13.8" customHeight="1" x14ac:dyDescent="0.3">
      <c r="A10" s="35"/>
      <c r="B10" s="21"/>
      <c r="C10" s="10"/>
      <c r="D10" s="49" t="s">
        <v>63</v>
      </c>
      <c r="E10" s="49"/>
      <c r="F10" s="49"/>
      <c r="G10" s="50"/>
      <c r="H10" s="53"/>
    </row>
    <row r="11" spans="1:8" x14ac:dyDescent="0.3">
      <c r="A11" s="35"/>
      <c r="B11" s="21"/>
      <c r="C11" s="10"/>
      <c r="D11" s="49" t="s">
        <v>63</v>
      </c>
      <c r="E11" s="51"/>
      <c r="F11" s="51"/>
      <c r="G11" s="49"/>
      <c r="H11" s="53"/>
    </row>
    <row r="12" spans="1:8" x14ac:dyDescent="0.3">
      <c r="A12" s="35"/>
      <c r="B12" s="21"/>
      <c r="C12" s="10"/>
      <c r="D12" s="49" t="s">
        <v>63</v>
      </c>
      <c r="E12" s="51"/>
      <c r="F12" s="51"/>
      <c r="G12" s="49"/>
      <c r="H12" s="53"/>
    </row>
    <row r="13" spans="1:8" x14ac:dyDescent="0.3">
      <c r="A13" s="35"/>
      <c r="B13" s="21"/>
      <c r="C13" s="10"/>
      <c r="D13" s="49" t="s">
        <v>63</v>
      </c>
      <c r="E13" s="80"/>
      <c r="F13" s="80"/>
      <c r="G13" s="81"/>
      <c r="H13" s="53"/>
    </row>
    <row r="14" spans="1:8" x14ac:dyDescent="0.3">
      <c r="A14" s="98"/>
      <c r="B14" s="82"/>
      <c r="C14" s="10"/>
      <c r="D14" s="49" t="s">
        <v>63</v>
      </c>
      <c r="E14" s="83"/>
      <c r="F14" s="83"/>
      <c r="G14" s="84"/>
      <c r="H14" s="99"/>
    </row>
    <row r="15" spans="1:8" ht="15.6" x14ac:dyDescent="0.3">
      <c r="A15" s="100"/>
      <c r="B15" s="85"/>
      <c r="C15" s="85"/>
      <c r="D15" s="49" t="s">
        <v>63</v>
      </c>
      <c r="E15" s="86"/>
      <c r="F15" s="93"/>
      <c r="G15" s="93"/>
      <c r="H15" s="17"/>
    </row>
    <row r="16" spans="1:8" x14ac:dyDescent="0.3">
      <c r="A16" s="101"/>
      <c r="B16" s="94"/>
      <c r="C16" s="94"/>
      <c r="D16" s="49" t="s">
        <v>63</v>
      </c>
      <c r="E16" s="86"/>
      <c r="F16" s="93"/>
      <c r="G16" s="93"/>
      <c r="H16" s="17"/>
    </row>
    <row r="17" spans="1:8" x14ac:dyDescent="0.3">
      <c r="A17" s="101"/>
      <c r="B17" s="95"/>
      <c r="C17" s="95"/>
      <c r="D17" s="49" t="s">
        <v>63</v>
      </c>
      <c r="E17" s="88"/>
      <c r="F17" s="93"/>
      <c r="G17" s="93"/>
      <c r="H17" s="17"/>
    </row>
    <row r="18" spans="1:8" x14ac:dyDescent="0.3">
      <c r="A18" s="101"/>
      <c r="B18" s="95"/>
      <c r="C18" s="95"/>
      <c r="D18" s="49" t="s">
        <v>63</v>
      </c>
      <c r="E18" s="89"/>
      <c r="F18" s="90"/>
      <c r="G18" s="90"/>
      <c r="H18" s="102"/>
    </row>
    <row r="19" spans="1:8" x14ac:dyDescent="0.3">
      <c r="A19" s="101"/>
      <c r="B19" s="96"/>
      <c r="C19" s="96"/>
      <c r="D19" s="49" t="s">
        <v>63</v>
      </c>
      <c r="E19" s="89"/>
      <c r="F19" s="87"/>
      <c r="G19" s="87"/>
      <c r="H19" s="17"/>
    </row>
    <row r="20" spans="1:8" ht="15" thickBot="1" x14ac:dyDescent="0.35">
      <c r="A20" s="103"/>
      <c r="B20" s="104"/>
      <c r="C20" s="104"/>
      <c r="D20" s="105" t="s">
        <v>63</v>
      </c>
      <c r="E20" s="106"/>
      <c r="F20" s="107"/>
      <c r="G20" s="107"/>
      <c r="H20" s="18"/>
    </row>
    <row r="21" spans="1:8" x14ac:dyDescent="0.3">
      <c r="B21" s="55"/>
      <c r="C21" s="55"/>
    </row>
    <row r="22" spans="1:8" x14ac:dyDescent="0.3">
      <c r="A22" s="9" t="s">
        <v>16</v>
      </c>
      <c r="B22" s="5"/>
      <c r="C22" s="5"/>
      <c r="D22" s="9"/>
      <c r="E22" s="9" t="s">
        <v>65</v>
      </c>
      <c r="F22" s="9"/>
      <c r="G22" s="9"/>
      <c r="H22" s="9"/>
    </row>
    <row r="23" spans="1:8" x14ac:dyDescent="0.3">
      <c r="A23" s="9"/>
      <c r="B23" s="5"/>
      <c r="C23" s="5"/>
      <c r="D23" s="9"/>
      <c r="E23" s="9"/>
      <c r="F23" s="9"/>
      <c r="G23" s="9"/>
      <c r="H23" s="9"/>
    </row>
    <row r="24" spans="1:8" x14ac:dyDescent="0.3">
      <c r="A24" s="9" t="s">
        <v>58</v>
      </c>
      <c r="B24" s="5"/>
      <c r="C24" s="5"/>
      <c r="D24" s="9"/>
      <c r="E24" s="9" t="s">
        <v>58</v>
      </c>
      <c r="F24" s="5"/>
      <c r="G24" s="5"/>
      <c r="H24" s="9"/>
    </row>
    <row r="25" spans="1:8" x14ac:dyDescent="0.3">
      <c r="A25" s="9"/>
      <c r="B25" s="5"/>
      <c r="C25" s="5"/>
      <c r="D25" s="9"/>
      <c r="E25" s="9"/>
      <c r="F25" s="5"/>
      <c r="G25" s="5"/>
      <c r="H25" s="9"/>
    </row>
    <row r="26" spans="1:8" x14ac:dyDescent="0.3">
      <c r="A26" s="92" t="s">
        <v>59</v>
      </c>
      <c r="B26" s="5"/>
      <c r="C26" s="5"/>
      <c r="D26" s="9"/>
      <c r="E26" s="92" t="s">
        <v>60</v>
      </c>
      <c r="F26" s="5"/>
      <c r="G26" s="5"/>
      <c r="H26" s="9"/>
    </row>
    <row r="27" spans="1:8" x14ac:dyDescent="0.3">
      <c r="A27" s="5"/>
      <c r="B27" s="5"/>
      <c r="C27" s="5"/>
      <c r="D27" s="5"/>
      <c r="E27" s="5"/>
      <c r="F27" s="5"/>
      <c r="G27" s="5"/>
      <c r="H27" s="5"/>
    </row>
    <row r="28" spans="1:8" x14ac:dyDescent="0.3">
      <c r="A28" s="56" t="s">
        <v>12</v>
      </c>
      <c r="B28" s="56"/>
      <c r="C28" s="56"/>
      <c r="D28" s="9"/>
      <c r="E28" s="13" t="s">
        <v>12</v>
      </c>
      <c r="F28" s="13"/>
      <c r="G28" s="13"/>
      <c r="H28" s="13"/>
    </row>
    <row r="29" spans="1:8" x14ac:dyDescent="0.3">
      <c r="A29" s="91"/>
      <c r="B29" s="91"/>
      <c r="C29" s="91"/>
      <c r="D29" s="9"/>
      <c r="E29" s="91"/>
      <c r="F29" s="91"/>
      <c r="G29" s="91"/>
      <c r="H29" s="91"/>
    </row>
    <row r="30" spans="1:8" x14ac:dyDescent="0.3">
      <c r="A30" s="5"/>
      <c r="B30" s="5"/>
      <c r="C30" s="5"/>
      <c r="D30" s="5"/>
      <c r="E30" s="5"/>
      <c r="F30" s="5"/>
      <c r="G30" s="5"/>
      <c r="H30" s="5"/>
    </row>
    <row r="31" spans="1:8" x14ac:dyDescent="0.3">
      <c r="A31" s="19" t="s">
        <v>29</v>
      </c>
      <c r="B31" s="64"/>
      <c r="C31" s="65"/>
      <c r="D31" s="5"/>
      <c r="E31" s="19" t="s">
        <v>0</v>
      </c>
      <c r="F31" s="19"/>
      <c r="G31" s="19"/>
      <c r="H31" s="19"/>
    </row>
  </sheetData>
  <mergeCells count="22">
    <mergeCell ref="G1:H1"/>
    <mergeCell ref="B31:C31"/>
    <mergeCell ref="D4:F4"/>
    <mergeCell ref="D5:F5"/>
    <mergeCell ref="G5:H5"/>
    <mergeCell ref="D6:F6"/>
    <mergeCell ref="G6:H6"/>
    <mergeCell ref="G4:H4"/>
    <mergeCell ref="A4:B4"/>
    <mergeCell ref="A5:B5"/>
    <mergeCell ref="A6:B6"/>
    <mergeCell ref="A7:B7"/>
    <mergeCell ref="G7:H7"/>
    <mergeCell ref="D7:F7"/>
    <mergeCell ref="A2:B2"/>
    <mergeCell ref="A3:B3"/>
    <mergeCell ref="D3:F3"/>
    <mergeCell ref="G3:H3"/>
    <mergeCell ref="G2:H2"/>
    <mergeCell ref="D2:F2"/>
    <mergeCell ref="B21:C21"/>
    <mergeCell ref="A28:C28"/>
  </mergeCells>
  <phoneticPr fontId="11" type="noConversion"/>
  <conditionalFormatting sqref="B10:B12">
    <cfRule type="expression" dxfId="7" priority="397">
      <formula>C10:C13=TRUE</formula>
    </cfRule>
  </conditionalFormatting>
  <conditionalFormatting sqref="B10:B14">
    <cfRule type="cellIs" dxfId="6" priority="9" operator="equal">
      <formula>TRUE</formula>
    </cfRule>
  </conditionalFormatting>
  <conditionalFormatting sqref="B13">
    <cfRule type="expression" dxfId="5" priority="225">
      <formula>C13:C35=TRUE</formula>
    </cfRule>
  </conditionalFormatting>
  <conditionalFormatting sqref="B14">
    <cfRule type="expression" dxfId="4" priority="160">
      <formula>C14:C39=TRUE</formula>
    </cfRule>
  </conditionalFormatting>
  <pageMargins left="0.7" right="0.7" top="1.3325" bottom="0.75" header="0.3" footer="0.3"/>
  <pageSetup paperSize="9" scale="73" fitToHeight="0" orientation="portrait" r:id="rId1"/>
  <headerFooter>
    <oddHeader>&amp;L&amp;"-,Bold"&amp;10SITHEMBE TRANSPORTATION AND PROJECTS  &amp;"-,Regular"
VAT No: 4070272101  
285 Erasmus Ave  
Raslouw AH  
Centuiron  
0157 &amp;11 &amp;Cwww.sithembe.co.za
info@sithembe.co.za
012 880 3155&amp;R&amp;G</oddHeader>
    <oddFooter>&amp;L&amp;"-,Italic"&amp;K00-018&amp;P of &amp;N&amp;R&amp;"-,Italic"&amp;K00-019January - STP/QT/26/0329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0474D-5B83-4242-AED8-8CF50DB3BCFD}">
  <sheetPr>
    <pageSetUpPr fitToPage="1"/>
  </sheetPr>
  <dimension ref="A1:P29"/>
  <sheetViews>
    <sheetView showGridLines="0" view="pageBreakPreview" zoomScaleNormal="100" zoomScaleSheetLayoutView="100" workbookViewId="0">
      <selection activeCell="G54" sqref="G54"/>
    </sheetView>
  </sheetViews>
  <sheetFormatPr defaultRowHeight="14.4" x14ac:dyDescent="0.3"/>
  <cols>
    <col min="1" max="1" width="26.44140625" bestFit="1" customWidth="1"/>
    <col min="2" max="2" width="17.5546875" bestFit="1" customWidth="1"/>
    <col min="3" max="3" width="19" bestFit="1" customWidth="1"/>
    <col min="4" max="4" width="8.21875" bestFit="1" customWidth="1"/>
    <col min="5" max="5" width="9.5546875" customWidth="1"/>
    <col min="6" max="6" width="11.21875" bestFit="1" customWidth="1"/>
    <col min="7" max="7" width="9.44140625" customWidth="1"/>
    <col min="8" max="8" width="19" bestFit="1" customWidth="1"/>
    <col min="9" max="9" width="14" bestFit="1" customWidth="1"/>
    <col min="10" max="10" width="12.109375" bestFit="1" customWidth="1"/>
    <col min="11" max="11" width="14.5546875" bestFit="1" customWidth="1"/>
    <col min="12" max="12" width="10.44140625" bestFit="1" customWidth="1"/>
    <col min="13" max="13" width="8.5546875" bestFit="1" customWidth="1"/>
    <col min="14" max="14" width="15.21875" bestFit="1" customWidth="1"/>
    <col min="15" max="15" width="13.44140625" bestFit="1" customWidth="1"/>
    <col min="16" max="16" width="10.21875" bestFit="1" customWidth="1"/>
  </cols>
  <sheetData>
    <row r="1" spans="1:16" ht="23.4" x14ac:dyDescent="0.45">
      <c r="A1" s="1"/>
      <c r="B1" s="2"/>
      <c r="C1" s="2"/>
      <c r="D1" s="2"/>
      <c r="E1" s="2"/>
      <c r="F1" s="2"/>
      <c r="G1" s="63" t="s">
        <v>38</v>
      </c>
      <c r="H1" s="63"/>
      <c r="I1" s="2"/>
    </row>
    <row r="2" spans="1:16" x14ac:dyDescent="0.3">
      <c r="A2" s="60" t="s">
        <v>1</v>
      </c>
      <c r="B2" s="60"/>
      <c r="C2" s="2"/>
      <c r="D2" s="60" t="s">
        <v>34</v>
      </c>
      <c r="E2" s="60"/>
      <c r="F2" s="60"/>
      <c r="G2" s="62" t="s">
        <v>54</v>
      </c>
      <c r="H2" s="62"/>
    </row>
    <row r="3" spans="1:16" x14ac:dyDescent="0.3">
      <c r="A3" s="60" t="s">
        <v>2</v>
      </c>
      <c r="B3" s="60"/>
      <c r="C3" s="2"/>
      <c r="D3" s="60" t="s">
        <v>0</v>
      </c>
      <c r="E3" s="60"/>
      <c r="F3" s="60"/>
      <c r="G3" s="61">
        <v>46053</v>
      </c>
      <c r="H3" s="61"/>
    </row>
    <row r="4" spans="1:16" x14ac:dyDescent="0.3">
      <c r="A4" s="60" t="s">
        <v>24</v>
      </c>
      <c r="B4" s="60"/>
      <c r="C4" s="5"/>
      <c r="D4" s="60" t="s">
        <v>46</v>
      </c>
      <c r="E4" s="60"/>
      <c r="F4" s="60"/>
      <c r="G4" s="68" t="s">
        <v>47</v>
      </c>
      <c r="H4" s="68"/>
    </row>
    <row r="5" spans="1:16" ht="14.4" customHeight="1" x14ac:dyDescent="0.3">
      <c r="A5" s="60" t="s">
        <v>25</v>
      </c>
      <c r="B5" s="60"/>
      <c r="C5" s="5"/>
      <c r="D5" s="60" t="s">
        <v>18</v>
      </c>
      <c r="E5" s="60"/>
      <c r="F5" s="60"/>
      <c r="G5" s="66" t="s">
        <v>23</v>
      </c>
      <c r="H5" s="66"/>
    </row>
    <row r="6" spans="1:16" x14ac:dyDescent="0.3">
      <c r="A6" s="60" t="s">
        <v>26</v>
      </c>
      <c r="B6" s="60"/>
      <c r="C6" s="5"/>
      <c r="D6" s="60" t="s">
        <v>19</v>
      </c>
      <c r="E6" s="60"/>
      <c r="F6" s="60"/>
      <c r="G6" s="67" t="s">
        <v>20</v>
      </c>
      <c r="H6" s="67"/>
    </row>
    <row r="7" spans="1:16" x14ac:dyDescent="0.3">
      <c r="A7" s="69" t="s">
        <v>3</v>
      </c>
      <c r="B7" s="69"/>
      <c r="C7" s="5"/>
      <c r="D7" s="60" t="s">
        <v>35</v>
      </c>
      <c r="E7" s="60"/>
      <c r="F7" s="60"/>
      <c r="G7" s="62" t="s">
        <v>52</v>
      </c>
      <c r="H7" s="62"/>
    </row>
    <row r="8" spans="1:16" ht="15" thickBot="1" x14ac:dyDescent="0.35">
      <c r="A8" s="9"/>
      <c r="B8" s="15"/>
      <c r="C8" s="5"/>
      <c r="D8" s="5"/>
      <c r="E8" s="5"/>
      <c r="F8" s="5"/>
      <c r="G8" s="5"/>
      <c r="H8" s="14"/>
      <c r="I8" s="28">
        <v>3043.48</v>
      </c>
    </row>
    <row r="9" spans="1:16" ht="42" thickBot="1" x14ac:dyDescent="0.35">
      <c r="A9" s="37" t="s">
        <v>33</v>
      </c>
      <c r="B9" s="38" t="s">
        <v>30</v>
      </c>
      <c r="C9" s="39" t="s">
        <v>21</v>
      </c>
      <c r="D9" s="39" t="s">
        <v>31</v>
      </c>
      <c r="E9" s="39" t="s">
        <v>22</v>
      </c>
      <c r="F9" s="39" t="s">
        <v>36</v>
      </c>
      <c r="G9" s="38" t="s">
        <v>37</v>
      </c>
      <c r="H9" s="40" t="s">
        <v>32</v>
      </c>
    </row>
    <row r="10" spans="1:16" ht="15" thickBot="1" x14ac:dyDescent="0.35">
      <c r="A10" s="36" t="s">
        <v>13</v>
      </c>
      <c r="B10" s="42" t="s">
        <v>53</v>
      </c>
      <c r="C10" s="41"/>
      <c r="D10" s="48"/>
      <c r="E10" s="48"/>
      <c r="F10" s="48"/>
      <c r="G10" s="48"/>
      <c r="H10" s="52"/>
      <c r="J10" s="32" t="s">
        <v>39</v>
      </c>
      <c r="K10" s="33" t="s">
        <v>40</v>
      </c>
      <c r="L10" s="33" t="s">
        <v>41</v>
      </c>
      <c r="M10" s="33" t="s">
        <v>42</v>
      </c>
      <c r="N10" s="33" t="s">
        <v>43</v>
      </c>
      <c r="O10" s="33" t="s">
        <v>44</v>
      </c>
      <c r="P10" s="34" t="s">
        <v>45</v>
      </c>
    </row>
    <row r="11" spans="1:16" ht="15" thickBot="1" x14ac:dyDescent="0.35">
      <c r="A11" s="35" t="s">
        <v>51</v>
      </c>
      <c r="B11" s="21" t="s">
        <v>48</v>
      </c>
      <c r="C11" s="10">
        <f>$I$8</f>
        <v>3043.48</v>
      </c>
      <c r="D11" s="49">
        <v>21</v>
      </c>
      <c r="E11" s="49">
        <v>5</v>
      </c>
      <c r="F11" s="49">
        <v>5</v>
      </c>
      <c r="G11" s="50">
        <f>O11</f>
        <v>124</v>
      </c>
      <c r="H11" s="53">
        <f>(J11*K11)+(J11*L11*1.5)+(J11*M11*2)+(J11*P11)</f>
        <v>191741.76</v>
      </c>
      <c r="I11">
        <f>D11+E11+F11</f>
        <v>31</v>
      </c>
      <c r="J11" s="29">
        <v>380.44</v>
      </c>
      <c r="K11" s="30">
        <f>D11*8</f>
        <v>168</v>
      </c>
      <c r="L11" s="30">
        <f>E11*8</f>
        <v>40</v>
      </c>
      <c r="M11" s="30">
        <f>F11*8</f>
        <v>40</v>
      </c>
      <c r="N11" s="30">
        <v>4</v>
      </c>
      <c r="O11" s="30">
        <f>(D11+E11+F11)*N11</f>
        <v>124</v>
      </c>
      <c r="P11" s="31">
        <f>SUM(((D11+E11)*1.5)*N11+(F11*2)*N11)</f>
        <v>196</v>
      </c>
    </row>
    <row r="12" spans="1:16" x14ac:dyDescent="0.3">
      <c r="A12" s="35" t="str">
        <f>A11</f>
        <v>REGION 7 - BRONKHORSPRUIT</v>
      </c>
      <c r="B12" s="21" t="s">
        <v>49</v>
      </c>
      <c r="C12" s="10">
        <f t="shared" ref="C12:C13" si="0">$I$8</f>
        <v>3043.48</v>
      </c>
      <c r="D12" s="51">
        <f t="shared" ref="D12:D13" si="1">$D$11</f>
        <v>21</v>
      </c>
      <c r="E12" s="51">
        <f t="shared" ref="E12:E13" si="2">$E$11</f>
        <v>5</v>
      </c>
      <c r="F12" s="51">
        <f t="shared" ref="F12:F13" si="3">$F$11</f>
        <v>5</v>
      </c>
      <c r="G12" s="49">
        <f t="shared" ref="G12:G13" si="4">$G$11</f>
        <v>124</v>
      </c>
      <c r="H12" s="53">
        <f t="shared" ref="H12:H13" si="5">$H$11</f>
        <v>191741.76</v>
      </c>
      <c r="J12" s="23"/>
    </row>
    <row r="13" spans="1:16" x14ac:dyDescent="0.3">
      <c r="A13" s="35" t="str">
        <f t="shared" ref="A13" si="6">A12</f>
        <v>REGION 7 - BRONKHORSPRUIT</v>
      </c>
      <c r="B13" s="21" t="s">
        <v>50</v>
      </c>
      <c r="C13" s="10">
        <f t="shared" si="0"/>
        <v>3043.48</v>
      </c>
      <c r="D13" s="51">
        <f t="shared" si="1"/>
        <v>21</v>
      </c>
      <c r="E13" s="51">
        <f t="shared" si="2"/>
        <v>5</v>
      </c>
      <c r="F13" s="51">
        <f t="shared" si="3"/>
        <v>5</v>
      </c>
      <c r="G13" s="49">
        <f t="shared" si="4"/>
        <v>124</v>
      </c>
      <c r="H13" s="53">
        <f t="shared" si="5"/>
        <v>191741.76</v>
      </c>
      <c r="J13" s="23"/>
    </row>
    <row r="14" spans="1:16" ht="15" thickBot="1" x14ac:dyDescent="0.35">
      <c r="A14" s="43"/>
      <c r="B14" s="44"/>
      <c r="C14" s="45"/>
      <c r="D14" s="46"/>
      <c r="E14" s="46"/>
      <c r="F14" s="46"/>
      <c r="G14" s="47"/>
      <c r="H14" s="54"/>
      <c r="I14" s="12">
        <f>SUM(H11:H13)</f>
        <v>575225.28</v>
      </c>
    </row>
    <row r="15" spans="1:16" ht="15" thickBot="1" x14ac:dyDescent="0.35">
      <c r="A15" s="5"/>
      <c r="B15" s="22"/>
      <c r="C15" s="23"/>
      <c r="D15" s="24"/>
      <c r="E15" s="24"/>
      <c r="F15" s="25"/>
      <c r="G15" s="26"/>
      <c r="H15" s="27"/>
      <c r="I15" s="12"/>
    </row>
    <row r="16" spans="1:16" ht="15.6" x14ac:dyDescent="0.3">
      <c r="A16" s="1" t="s">
        <v>4</v>
      </c>
      <c r="B16" s="20"/>
      <c r="C16" s="20"/>
      <c r="D16" s="20"/>
      <c r="E16" s="3"/>
      <c r="F16" s="70" t="s">
        <v>5</v>
      </c>
      <c r="G16" s="71"/>
      <c r="H16" s="16">
        <f>SUM(H10:H14)</f>
        <v>575225.28</v>
      </c>
      <c r="I16" s="11">
        <f>I14</f>
        <v>575225.28</v>
      </c>
    </row>
    <row r="17" spans="1:12" x14ac:dyDescent="0.3">
      <c r="A17" s="3" t="s">
        <v>6</v>
      </c>
      <c r="B17" s="74" t="s">
        <v>7</v>
      </c>
      <c r="C17" s="74"/>
      <c r="D17" s="74"/>
      <c r="E17" s="3"/>
      <c r="F17" s="72" t="s">
        <v>8</v>
      </c>
      <c r="G17" s="73"/>
      <c r="H17" s="17">
        <f>H16*15%</f>
        <v>86283.792000000001</v>
      </c>
    </row>
    <row r="18" spans="1:12" ht="15" thickBot="1" x14ac:dyDescent="0.35">
      <c r="A18" s="3" t="s">
        <v>9</v>
      </c>
      <c r="B18" s="57">
        <v>411437577</v>
      </c>
      <c r="C18" s="57"/>
      <c r="D18" s="57"/>
      <c r="E18" s="8"/>
      <c r="F18" s="58" t="s">
        <v>10</v>
      </c>
      <c r="G18" s="59"/>
      <c r="H18" s="18">
        <f>SUM(H16:H17)</f>
        <v>661509.07200000004</v>
      </c>
      <c r="I18" s="11"/>
      <c r="L18" s="28"/>
    </row>
    <row r="19" spans="1:12" x14ac:dyDescent="0.3">
      <c r="A19" s="3" t="s">
        <v>11</v>
      </c>
      <c r="B19" s="57">
        <v>2345</v>
      </c>
      <c r="C19" s="57"/>
      <c r="D19" s="57"/>
      <c r="E19" s="4"/>
      <c r="F19" s="6"/>
      <c r="G19" s="6"/>
      <c r="H19" s="7"/>
      <c r="L19" s="28"/>
    </row>
    <row r="20" spans="1:12" x14ac:dyDescent="0.3">
      <c r="A20" s="3" t="s">
        <v>28</v>
      </c>
      <c r="B20" s="55" t="s">
        <v>27</v>
      </c>
      <c r="C20" s="55"/>
      <c r="D20" s="55"/>
      <c r="E20" s="4"/>
      <c r="F20" s="6"/>
      <c r="G20" s="6"/>
      <c r="H20" s="7"/>
      <c r="L20" s="28"/>
    </row>
    <row r="21" spans="1:12" x14ac:dyDescent="0.3">
      <c r="A21" s="3" t="s">
        <v>15</v>
      </c>
      <c r="B21" s="55" t="s">
        <v>14</v>
      </c>
      <c r="C21" s="55"/>
      <c r="D21" s="55"/>
      <c r="E21" s="3"/>
      <c r="F21" s="6"/>
      <c r="G21" s="6"/>
      <c r="H21" s="7"/>
      <c r="L21" s="28"/>
    </row>
    <row r="22" spans="1:12" x14ac:dyDescent="0.3">
      <c r="B22" s="55"/>
      <c r="C22" s="55"/>
    </row>
    <row r="23" spans="1:12" x14ac:dyDescent="0.3">
      <c r="A23" s="9" t="s">
        <v>16</v>
      </c>
      <c r="B23" s="5"/>
      <c r="C23" s="5"/>
      <c r="D23" s="9"/>
      <c r="E23" s="9" t="s">
        <v>17</v>
      </c>
      <c r="F23" s="9"/>
      <c r="G23" s="9"/>
      <c r="H23" s="9"/>
    </row>
    <row r="24" spans="1:12" x14ac:dyDescent="0.3">
      <c r="A24" s="9"/>
      <c r="B24" s="5"/>
      <c r="C24" s="5"/>
      <c r="D24" s="9"/>
      <c r="E24" s="9"/>
      <c r="F24" s="9"/>
      <c r="G24" s="9"/>
      <c r="H24" s="9"/>
    </row>
    <row r="25" spans="1:12" x14ac:dyDescent="0.3">
      <c r="A25" s="5"/>
      <c r="B25" s="5"/>
      <c r="C25" s="5"/>
      <c r="D25" s="5"/>
      <c r="E25" s="5"/>
      <c r="F25" s="5"/>
      <c r="G25" s="5"/>
      <c r="H25" s="5"/>
    </row>
    <row r="26" spans="1:12" x14ac:dyDescent="0.3">
      <c r="A26" s="56" t="s">
        <v>12</v>
      </c>
      <c r="B26" s="56"/>
      <c r="C26" s="56"/>
      <c r="D26" s="9"/>
      <c r="E26" s="13" t="s">
        <v>12</v>
      </c>
      <c r="F26" s="13"/>
      <c r="G26" s="13"/>
      <c r="H26" s="13"/>
    </row>
    <row r="27" spans="1:12" x14ac:dyDescent="0.3">
      <c r="A27" s="9"/>
      <c r="B27" s="9"/>
      <c r="C27" s="9"/>
      <c r="D27" s="9"/>
      <c r="E27" s="9"/>
      <c r="F27" s="9"/>
      <c r="G27" s="9"/>
      <c r="H27" s="9"/>
    </row>
    <row r="28" spans="1:12" x14ac:dyDescent="0.3">
      <c r="A28" s="5"/>
      <c r="B28" s="5"/>
      <c r="C28" s="5"/>
      <c r="D28" s="5"/>
      <c r="E28" s="5"/>
      <c r="F28" s="5"/>
      <c r="G28" s="5"/>
      <c r="H28" s="5"/>
    </row>
    <row r="29" spans="1:12" x14ac:dyDescent="0.3">
      <c r="A29" s="19" t="s">
        <v>29</v>
      </c>
      <c r="B29" s="64">
        <f>G3</f>
        <v>46053</v>
      </c>
      <c r="C29" s="65"/>
      <c r="D29" s="5"/>
      <c r="E29" s="19" t="s">
        <v>0</v>
      </c>
      <c r="F29" s="19"/>
      <c r="G29" s="19"/>
      <c r="H29" s="19"/>
    </row>
  </sheetData>
  <mergeCells count="30">
    <mergeCell ref="G1:H1"/>
    <mergeCell ref="A6:B6"/>
    <mergeCell ref="D6:F6"/>
    <mergeCell ref="G6:H6"/>
    <mergeCell ref="A7:B7"/>
    <mergeCell ref="D7:F7"/>
    <mergeCell ref="G7:H7"/>
    <mergeCell ref="A4:B4"/>
    <mergeCell ref="D4:F4"/>
    <mergeCell ref="G4:H4"/>
    <mergeCell ref="A5:B5"/>
    <mergeCell ref="D5:F5"/>
    <mergeCell ref="G5:H5"/>
    <mergeCell ref="A2:B2"/>
    <mergeCell ref="D2:F2"/>
    <mergeCell ref="G2:H2"/>
    <mergeCell ref="F16:G16"/>
    <mergeCell ref="F17:G17"/>
    <mergeCell ref="A3:B3"/>
    <mergeCell ref="D3:F3"/>
    <mergeCell ref="G3:H3"/>
    <mergeCell ref="B17:D17"/>
    <mergeCell ref="B22:C22"/>
    <mergeCell ref="A26:C26"/>
    <mergeCell ref="B29:C29"/>
    <mergeCell ref="B18:D18"/>
    <mergeCell ref="F18:G18"/>
    <mergeCell ref="B19:D19"/>
    <mergeCell ref="B20:D20"/>
    <mergeCell ref="B21:D21"/>
  </mergeCells>
  <conditionalFormatting sqref="B11:B13">
    <cfRule type="expression" dxfId="3" priority="396">
      <formula>C11:C14=TRUE</formula>
    </cfRule>
  </conditionalFormatting>
  <conditionalFormatting sqref="B11:B15">
    <cfRule type="cellIs" dxfId="2" priority="1" operator="equal">
      <formula>TRUE</formula>
    </cfRule>
  </conditionalFormatting>
  <conditionalFormatting sqref="B14">
    <cfRule type="expression" dxfId="1" priority="2">
      <formula>C14:C33=TRUE</formula>
    </cfRule>
  </conditionalFormatting>
  <conditionalFormatting sqref="B15">
    <cfRule type="expression" dxfId="0" priority="33">
      <formula>C15:C37=TRUE</formula>
    </cfRule>
  </conditionalFormatting>
  <pageMargins left="0.7" right="0.7" top="1.3454999999999999" bottom="0.75" header="0.3" footer="0.3"/>
  <pageSetup paperSize="9" scale="72" fitToHeight="0" orientation="portrait" r:id="rId1"/>
  <headerFooter>
    <oddHeader>&amp;L&amp;"-,Bold"&amp;10SITHEMBE TRANSPORTATION AND PROJECTS  &amp;"-,Regular"
VAT No: 4070272101  
285 Erasmus Ave  
Raslouw AH  
Centuiron  
0157 &amp;11 &amp;Cwww.sithembe.co.za
info@sithembe.co.za
012 880 3155&amp;R&amp;G</oddHeader>
    <oddFooter>&amp;L&amp;"-,Italic"&amp;K00-019&amp;P of &amp;N&amp;R&amp;"-,Italic"&amp;K00-020January - STP/INV/26/0329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64ADA57E-69A5-4E4F-AE72-1A4E85221E69}"/>
</file>

<file path=customXml/itemProps2.xml><?xml version="1.0" encoding="utf-8"?>
<ds:datastoreItem xmlns:ds="http://schemas.openxmlformats.org/officeDocument/2006/customXml" ds:itemID="{681FFD73-7B6A-451A-BCD1-22579B3AE3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A508E1-F889-4FB4-81BC-717A64C59A25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3e1fb217-3513-4a84-b39a-87d8fab7c42d"/>
    <ds:schemaRef ds:uri="f62d4ef4-b04a-4b31-a502-7b4d1ae74549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EFA869A8-131E-451C-9FA4-2F16F62B1A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Quote</vt:lpstr>
      <vt:lpstr>Invoice</vt:lpstr>
      <vt:lpstr>Invoice!Print_Area</vt:lpstr>
      <vt:lpstr>Quote!Print_Area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STP Tenders</dc:creator>
  <cp:keywords/>
  <dc:description/>
  <cp:lastModifiedBy>Operations</cp:lastModifiedBy>
  <cp:revision/>
  <cp:lastPrinted>2026-01-07T13:33:12Z</cp:lastPrinted>
  <dcterms:created xsi:type="dcterms:W3CDTF">2015-06-05T18:17:20Z</dcterms:created>
  <dcterms:modified xsi:type="dcterms:W3CDTF">2026-03-09T08:32:01Z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