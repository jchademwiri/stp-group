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mc:AlternateContent xmlns:mc="http://schemas.openxmlformats.org/markup-compatibility/2006">
    <mc:Choice Requires="x15">
      <x15ac:absPath xmlns:x15ac="http://schemas.microsoft.com/office/spreadsheetml/2010/11/ac" url="https://sithembe.sharepoint.com/sites/accounting9/Shared Documents/2025 - 2026/01 Current Projects &amp; Invoices/02 Appointment Letters/01 STP Appointment Letters/001 Projects Values/"/>
    </mc:Choice>
  </mc:AlternateContent>
  <xr:revisionPtr revIDLastSave="201" documentId="11_642500541E218B0D3EAE8C89411938A4F0A28B06" xr6:coauthVersionLast="47" xr6:coauthVersionMax="47" xr10:uidLastSave="{485D95CC-FB2B-403C-AA04-2DC250A50DF0}"/>
  <bookViews>
    <workbookView xWindow="-108" yWindow="-108" windowWidth="23256" windowHeight="12456" xr2:uid="{00000000-000D-0000-FFFF-FFFF00000000}"/>
  </bookViews>
  <sheets>
    <sheet name="Sheet1" sheetId="1" r:id="rId1"/>
  </sheets>
  <definedNames>
    <definedName name="_xlnm.Print_Area" localSheetId="0">Sheet1!$A$1:$G$15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5" i="1" l="1"/>
  <c r="F13" i="1"/>
  <c r="F12" i="1"/>
  <c r="F11" i="1"/>
  <c r="F10" i="1"/>
  <c r="F9" i="1"/>
  <c r="F8" i="1"/>
  <c r="F7" i="1"/>
  <c r="F5" i="1"/>
  <c r="F6" i="1"/>
  <c r="F4" i="1"/>
  <c r="F15" i="1" l="1"/>
  <c r="G15" i="1"/>
</calcChain>
</file>

<file path=xl/sharedStrings.xml><?xml version="1.0" encoding="utf-8"?>
<sst xmlns="http://schemas.openxmlformats.org/spreadsheetml/2006/main" count="29" uniqueCount="29">
  <si>
    <t>PROJECT NUMBER</t>
  </si>
  <si>
    <t>PROJECT DESCRIPTION</t>
  </si>
  <si>
    <t>ESTIMATED VALUES</t>
  </si>
  <si>
    <t>SS 01 – 2023/24</t>
  </si>
  <si>
    <t>TENDER FOR THE CORPORATE HIRE OF GENERAL CONSTRUCTION VEHICLES AND REFUSE REMOVAL VEHICLES FOR THE CITY OF TSHWANE: AS AND WHEN REQUIRED: THREE (3) YEAR PERIOD: WITH EFFECT FROM 01 MAY 2024 OR NEAREST DATE</t>
  </si>
  <si>
    <t>THE APPOINTMENT OF SERVICE PROVIDERS FOR THE SUPPLY, DELIVERY AND OFF-LOADING OF ELECTRICAL ITEMS (ACCESSORIES) ON AN AS AND WHEN REQUIRED BASIS FROM DATE OF AWARD UNTIL 30 JUNE 2026.</t>
  </si>
  <si>
    <t>AS 08-2023</t>
  </si>
  <si>
    <t>APPOINTMENT DATE</t>
  </si>
  <si>
    <t>END DATE</t>
  </si>
  <si>
    <t>TENDER FOR THE CONSTRUCTION OF CONCRETE BERM STRIPS AT VARIOUS CEMETERIES IN THE SEVEN REGIONS FOR THE CITY OF TSHWANE: REGIONAL OPERATIONS AND COORDINATION: AS AND WHEN REQUIRED: THREE (3) YEAR PERIOD: WITH EFFECT FROM 01 AUGUST 2023 OR NEAREST DATE</t>
  </si>
  <si>
    <t>ROC 08 – 2022/23</t>
  </si>
  <si>
    <t>SITHEMBE TRANSPORTATION AND PROJECTS</t>
  </si>
  <si>
    <t>TOTALS</t>
  </si>
  <si>
    <t>A-EWM 07-2022</t>
  </si>
  <si>
    <t>THE APPOINTMENT OF SERVICE PROVIDERS TO PERFORM VARIOUS ARBORICULTURE MAINTENANCE ACTIVITIES, ON AN AS AND WHEN REQUIRED BASIS, FROM DATE OF AWARD UNTIL 30 JUNE 2025</t>
  </si>
  <si>
    <t>MONTHLY INVOICES</t>
  </si>
  <si>
    <t>YEARLY INVOICES</t>
  </si>
  <si>
    <t>END ON PROJECT INVOICES</t>
  </si>
  <si>
    <t>GFS 03 – 2022/23</t>
  </si>
  <si>
    <t>TENDER FOR THE SUPPLY, DELIVERY, AND OFF-LOADING OF SAFETY BOOTS AND SAFETY SHOES: AS AND WHEN REQUIRED: THREE (3) YEAR PERIOD: WITH EFFECT FROM 01 MAY 2023 OR NEAREST DATE</t>
  </si>
  <si>
    <t>ROC 05 – 2022/23</t>
  </si>
  <si>
    <t>TENDER FOR THE RESURFACING AND REFURBISHMENT OF ALL-WEATHER HARD SURFACES AT VARIOUS SPORT FACILITIES IN THE CITY OF TSHWANE: AS AND WHEN REQUIRED: THREE (3) YEAR PERIOD: WITH EFFECT FROM 15 SEPTEMBER 2023 OR NEAREST DATE</t>
  </si>
  <si>
    <t>TENDER FOR THE MAINTENANCE OF BALUSTRADES, BARRIERS, RETAINING WALLS, BOLLARDS AND STEEL STRUCTURES AS WELL AS UPDATING THE INVENTORY ON THE STREET FURNITURE MANAGEMENT SYSTEMS, AS AND WHEN REQUIRED, ON TENDERED RATES AND SUBJECT TO AVAILABLE BUDGET: THREE (3) YEAR PERIOD: WITH EFFECT FROM 01 APRIL 2023 OR NEAREST DATE</t>
  </si>
  <si>
    <t>ROC 13 – 2021/22</t>
  </si>
  <si>
    <t>TENDER FOR THE SUPPLY AND DELIVERY OF EMERGENCY SERVICES PERSONNEL ROPE RESCUE EQUIPMENT AND ACCESSORIES TO THE CITY OF TSHWANE EMERGENCY SERVICES DEPARTMENT: AS AND WHEN REQUIRED: THREE (3) YEAR PERIOD: WITH EFFECT FROM 01 JULY 2024 OR NEAREST DATE</t>
  </si>
  <si>
    <t>ES 06 – 2023/24</t>
  </si>
  <si>
    <t>TENDER FOR THE APPOINTMENT OF A PANEL OF SERVICE PROVIDERS TO SUPPLY AND OPERATE VEHICLE, PLANT AND EQUIPMENT (INCLUSIVE OF FUEL, MAINTENANCE AND OPERATING STAFF) USED FOR ILLEGAL DUMPING AND GARDEN SITE SERVICES TO PIKITUP JOHANNESBURG OVER A PERIOD OF 3 YEARS</t>
  </si>
  <si>
    <t>APPOINTMENT AS ONE OF THE CONTRACTORS ON CIDB GRADING 1GB AND HIGHER FOR THE ROUTINE MAINTENANCE OF VARIOUS INFRASTRUCTURE ON AS AND WHEN REQUIRED BASIS FOR A PERIOD OF 36 MONTHS</t>
  </si>
  <si>
    <t>PU102/2022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</si>
</sst>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R&quot;* #,##0.00_-;\-&quot;R&quot;* #,##0.00_-;_-&quot;R&quot;* &quot;-&quot;??_-;_-@_-"/>
    <numFmt numFmtId="167" formatCode="mmmm\-yyyy"/>
  </numFmts>
  <fonts count="4" x14ac:knownFonts="1">
    <font>
      <sz val="11"/>
      <color theme="1"/>
      <name val="Calibri"/>
      <family val="2"/>
      <scheme val="minor"/>
    </font>
    <font>
      <sz val="11"/>
      <color theme="1"/>
      <name val="Calibri"/>
      <family val="2"/>
      <scheme val="minor"/>
    </font>
    <font>
      <sz val="10"/>
      <color theme="1"/>
      <name val="Calibri"/>
      <family val="2"/>
      <scheme val="minor"/>
    </font>
    <font>
      <b/>
      <sz val="10"/>
      <color theme="1"/>
      <name val="Calibri"/>
      <family val="2"/>
      <scheme val="minor"/>
    </font>
  </fonts>
  <fills count="2">
    <fill>
      <patternFill patternType="none"/>
    </fill>
    <fill>
      <patternFill patternType="gray125"/>
    </fill>
  </fills>
  <borders count="2">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s>
  <cellStyleXfs count="2">
    <xf numFmtId="0" fontId="0" fillId="0" borderId="0"/>
    <xf numFmtId="44" fontId="1" fillId="0" borderId="0" applyFont="0" applyFill="0" applyBorder="0" applyAlignment="0" applyProtection="0"/>
  </cellStyleXfs>
  <cellXfs count="14">
    <xf numFmtId="0" fontId="0" fillId="0" borderId="0" xfId="0"/>
    <xf numFmtId="44" fontId="0" fillId="0" borderId="0" xfId="1" applyFont="1" applyAlignment="1">
      <alignment vertical="center"/>
    </xf>
    <xf numFmtId="0" fontId="2" fillId="0" borderId="1" xfId="0" applyFont="1" applyBorder="1" applyAlignment="1">
      <alignment vertical="center" wrapText="1"/>
    </xf>
    <xf numFmtId="0" fontId="3" fillId="0" borderId="0" xfId="0" applyFont="1"/>
    <xf numFmtId="0" fontId="2" fillId="0" borderId="0" xfId="0" applyFont="1" applyAlignment="1">
      <alignment wrapText="1"/>
    </xf>
    <xf numFmtId="0" fontId="2" fillId="0" borderId="0" xfId="0" applyFont="1"/>
    <xf numFmtId="0" fontId="3" fillId="0" borderId="0" xfId="0" applyFont="1" applyAlignment="1">
      <alignment wrapText="1"/>
    </xf>
    <xf numFmtId="0" fontId="3" fillId="0" borderId="0" xfId="0" applyFont="1" applyAlignment="1">
      <alignment horizontal="center"/>
    </xf>
    <xf numFmtId="0" fontId="3" fillId="0" borderId="1" xfId="0" applyFont="1" applyBorder="1" applyAlignment="1">
      <alignment vertical="center" wrapText="1"/>
    </xf>
    <xf numFmtId="0" fontId="2" fillId="0" borderId="1" xfId="0" applyFont="1" applyBorder="1" applyAlignment="1">
      <alignment vertical="center"/>
    </xf>
    <xf numFmtId="167" fontId="2" fillId="0" borderId="1" xfId="0" applyNumberFormat="1" applyFont="1" applyBorder="1" applyAlignment="1">
      <alignment vertical="center" wrapText="1"/>
    </xf>
    <xf numFmtId="44" fontId="2" fillId="0" borderId="1" xfId="1" applyFont="1" applyBorder="1" applyAlignment="1">
      <alignment vertical="center"/>
    </xf>
    <xf numFmtId="0" fontId="2" fillId="0" borderId="0" xfId="0" applyFont="1" applyAlignment="1">
      <alignment vertical="center"/>
    </xf>
    <xf numFmtId="44" fontId="2" fillId="0" borderId="0" xfId="1" applyFont="1"/>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0"/>
  <sheetViews>
    <sheetView tabSelected="1" view="pageLayout" topLeftCell="A9" zoomScaleNormal="100" zoomScaleSheetLayoutView="100" workbookViewId="0">
      <selection activeCell="G10" sqref="G10"/>
    </sheetView>
  </sheetViews>
  <sheetFormatPr defaultRowHeight="13.8" x14ac:dyDescent="0.3"/>
  <cols>
    <col min="1" max="1" width="37.109375" style="5" bestFit="1" customWidth="1"/>
    <col min="2" max="2" width="44.88671875" style="4" customWidth="1"/>
    <col min="3" max="3" width="21.33203125" style="4" customWidth="1"/>
    <col min="4" max="4" width="14" style="4" bestFit="1" customWidth="1"/>
    <col min="5" max="5" width="14" style="5" bestFit="1" customWidth="1"/>
    <col min="6" max="6" width="15.88671875" style="5" bestFit="1" customWidth="1"/>
    <col min="7" max="7" width="16" style="5" bestFit="1" customWidth="1"/>
    <col min="8" max="10" width="8.88671875" style="5"/>
    <col min="11" max="11" width="12.44140625" style="5" bestFit="1" customWidth="1"/>
    <col min="12" max="16384" width="8.88671875" style="5"/>
  </cols>
  <sheetData>
    <row r="1" spans="1:11" x14ac:dyDescent="0.3">
      <c r="A1" s="3" t="s">
        <v>11</v>
      </c>
    </row>
    <row r="2" spans="1:11" x14ac:dyDescent="0.3">
      <c r="A2" s="3"/>
      <c r="B2" s="6"/>
      <c r="C2" s="6"/>
      <c r="D2" s="6"/>
      <c r="E2" s="7" t="s">
        <v>2</v>
      </c>
      <c r="F2" s="7"/>
      <c r="G2" s="7"/>
    </row>
    <row r="3" spans="1:11" ht="27.6" x14ac:dyDescent="0.3">
      <c r="A3" s="8" t="s">
        <v>0</v>
      </c>
      <c r="B3" s="8" t="s">
        <v>1</v>
      </c>
      <c r="C3" s="8" t="s">
        <v>7</v>
      </c>
      <c r="D3" s="8" t="s">
        <v>8</v>
      </c>
      <c r="E3" s="8" t="s">
        <v>15</v>
      </c>
      <c r="F3" s="8" t="s">
        <v>16</v>
      </c>
      <c r="G3" s="8" t="s">
        <v>17</v>
      </c>
    </row>
    <row r="4" spans="1:11" ht="82.8" x14ac:dyDescent="0.3">
      <c r="A4" s="9" t="s">
        <v>3</v>
      </c>
      <c r="B4" s="2" t="s">
        <v>4</v>
      </c>
      <c r="C4" s="10">
        <v>45383</v>
      </c>
      <c r="D4" s="10">
        <v>46478</v>
      </c>
      <c r="E4" s="11">
        <v>4245374.4800000004</v>
      </c>
      <c r="F4" s="11">
        <f>E4*12</f>
        <v>50944493.760000005</v>
      </c>
      <c r="G4" s="11"/>
    </row>
    <row r="5" spans="1:11" s="12" customFormat="1" ht="96.6" x14ac:dyDescent="0.3">
      <c r="A5" s="9" t="s">
        <v>10</v>
      </c>
      <c r="B5" s="2" t="s">
        <v>9</v>
      </c>
      <c r="C5" s="10">
        <v>45108</v>
      </c>
      <c r="D5" s="10">
        <v>46174</v>
      </c>
      <c r="E5" s="11">
        <v>199285.88</v>
      </c>
      <c r="F5" s="11">
        <f>E5*12</f>
        <v>2391430.56</v>
      </c>
      <c r="G5" s="11"/>
    </row>
    <row r="6" spans="1:11" s="12" customFormat="1" ht="55.2" x14ac:dyDescent="0.3">
      <c r="A6" s="9" t="s">
        <v>6</v>
      </c>
      <c r="B6" s="2" t="s">
        <v>5</v>
      </c>
      <c r="C6" s="10">
        <v>45323</v>
      </c>
      <c r="D6" s="10">
        <v>46174</v>
      </c>
      <c r="E6" s="11">
        <v>517741.5</v>
      </c>
      <c r="F6" s="11">
        <f>E6*12</f>
        <v>6212898</v>
      </c>
      <c r="G6" s="11"/>
    </row>
    <row r="7" spans="1:11" ht="55.2" x14ac:dyDescent="0.3">
      <c r="A7" s="9" t="s">
        <v>13</v>
      </c>
      <c r="B7" s="2" t="s">
        <v>14</v>
      </c>
      <c r="C7" s="10">
        <v>45017</v>
      </c>
      <c r="D7" s="10">
        <v>45809</v>
      </c>
      <c r="E7" s="1">
        <v>89199</v>
      </c>
      <c r="F7" s="11">
        <f>E7*12</f>
        <v>1070388</v>
      </c>
      <c r="G7" s="11"/>
    </row>
    <row r="8" spans="1:11" ht="55.2" x14ac:dyDescent="0.3">
      <c r="A8" s="9" t="s">
        <v>18</v>
      </c>
      <c r="B8" s="2" t="s">
        <v>19</v>
      </c>
      <c r="C8" s="10">
        <v>45047</v>
      </c>
      <c r="D8" s="10">
        <v>46113</v>
      </c>
      <c r="E8" s="11">
        <v>93623.4</v>
      </c>
      <c r="F8" s="11">
        <f t="shared" ref="F8:F13" si="0">E8*12</f>
        <v>1123480.7999999998</v>
      </c>
      <c r="G8" s="11"/>
    </row>
    <row r="9" spans="1:11" ht="96.6" x14ac:dyDescent="0.3">
      <c r="A9" s="9" t="s">
        <v>20</v>
      </c>
      <c r="B9" s="2" t="s">
        <v>21</v>
      </c>
      <c r="C9" s="10">
        <v>45170</v>
      </c>
      <c r="D9" s="10">
        <v>46235</v>
      </c>
      <c r="E9" s="11">
        <v>420842.5</v>
      </c>
      <c r="F9" s="11">
        <f t="shared" si="0"/>
        <v>5050110</v>
      </c>
      <c r="G9" s="11"/>
    </row>
    <row r="10" spans="1:11" ht="124.2" x14ac:dyDescent="0.3">
      <c r="A10" s="9" t="s">
        <v>23</v>
      </c>
      <c r="B10" s="2" t="s">
        <v>22</v>
      </c>
      <c r="C10" s="10">
        <v>45017</v>
      </c>
      <c r="D10" s="10">
        <v>46082</v>
      </c>
      <c r="E10" s="11">
        <v>251640.5</v>
      </c>
      <c r="F10" s="11">
        <f t="shared" si="0"/>
        <v>3019686</v>
      </c>
      <c r="G10" s="11"/>
    </row>
    <row r="11" spans="1:11" ht="96.6" x14ac:dyDescent="0.3">
      <c r="A11" s="9" t="s">
        <v>25</v>
      </c>
      <c r="B11" s="2" t="s">
        <v>24</v>
      </c>
      <c r="C11" s="10">
        <v>45474</v>
      </c>
      <c r="D11" s="10">
        <v>46539</v>
      </c>
      <c r="E11" s="11">
        <v>141063.79999999999</v>
      </c>
      <c r="F11" s="11">
        <f t="shared" si="0"/>
        <v>1692765.5999999999</v>
      </c>
      <c r="G11" s="11"/>
    </row>
    <row r="12" spans="1:11" ht="110.4" x14ac:dyDescent="0.3">
      <c r="A12" s="9" t="s">
        <v>28</v>
      </c>
      <c r="B12" s="2" t="s">
        <v>26</v>
      </c>
      <c r="C12" s="10">
        <v>45017</v>
      </c>
      <c r="D12" s="10">
        <v>45809</v>
      </c>
      <c r="E12" s="11">
        <v>219050.16</v>
      </c>
      <c r="F12" s="11">
        <f t="shared" si="0"/>
        <v>2628601.92</v>
      </c>
      <c r="G12" s="11"/>
    </row>
    <row r="13" spans="1:11" ht="69" x14ac:dyDescent="0.3">
      <c r="A13" s="9"/>
      <c r="B13" s="2" t="s">
        <v>27</v>
      </c>
      <c r="C13" s="10">
        <v>44743</v>
      </c>
      <c r="D13" s="10">
        <v>45809</v>
      </c>
      <c r="E13" s="11">
        <v>602035.4</v>
      </c>
      <c r="F13" s="11">
        <f t="shared" si="0"/>
        <v>7224424.8000000007</v>
      </c>
      <c r="G13" s="11"/>
      <c r="K13" s="13"/>
    </row>
    <row r="14" spans="1:11" x14ac:dyDescent="0.3">
      <c r="A14" s="9"/>
      <c r="B14" s="2"/>
      <c r="C14" s="10"/>
      <c r="D14" s="10"/>
      <c r="E14" s="11"/>
      <c r="F14" s="11"/>
      <c r="G14" s="11"/>
    </row>
    <row r="15" spans="1:11" x14ac:dyDescent="0.3">
      <c r="A15" s="9"/>
      <c r="B15" s="2"/>
      <c r="C15" s="2"/>
      <c r="D15" s="8" t="s">
        <v>12</v>
      </c>
      <c r="E15" s="11">
        <f>SUM(E4:E13)</f>
        <v>6779856.620000001</v>
      </c>
      <c r="F15" s="11">
        <f>SUM(F4:F13)</f>
        <v>81358279.439999998</v>
      </c>
      <c r="G15" s="11">
        <f>SUM(G4:G13)</f>
        <v>0</v>
      </c>
    </row>
    <row r="16" spans="1:11" x14ac:dyDescent="0.3">
      <c r="E16" s="13"/>
      <c r="F16" s="13"/>
      <c r="G16" s="13"/>
    </row>
    <row r="17" spans="5:7" x14ac:dyDescent="0.3">
      <c r="E17" s="13"/>
      <c r="F17" s="13"/>
      <c r="G17" s="13"/>
    </row>
    <row r="18" spans="5:7" x14ac:dyDescent="0.3">
      <c r="E18" s="13"/>
      <c r="F18" s="13"/>
      <c r="G18" s="13"/>
    </row>
    <row r="19" spans="5:7" x14ac:dyDescent="0.3">
      <c r="E19" s="13"/>
      <c r="F19" s="13"/>
      <c r="G19" s="13"/>
    </row>
    <row r="20" spans="5:7" x14ac:dyDescent="0.3">
      <c r="E20" s="13"/>
      <c r="F20" s="13"/>
      <c r="G20" s="13"/>
    </row>
    <row r="21" spans="5:7" x14ac:dyDescent="0.3">
      <c r="E21" s="13"/>
      <c r="F21" s="13"/>
      <c r="G21" s="13"/>
    </row>
    <row r="22" spans="5:7" x14ac:dyDescent="0.3">
      <c r="E22" s="13"/>
      <c r="F22" s="13"/>
      <c r="G22" s="13"/>
    </row>
    <row r="23" spans="5:7" x14ac:dyDescent="0.3">
      <c r="E23" s="13"/>
      <c r="F23" s="13"/>
      <c r="G23" s="13"/>
    </row>
    <row r="24" spans="5:7" x14ac:dyDescent="0.3">
      <c r="E24" s="13"/>
      <c r="F24" s="13"/>
      <c r="G24" s="13"/>
    </row>
    <row r="25" spans="5:7" x14ac:dyDescent="0.3">
      <c r="E25" s="13"/>
      <c r="F25" s="13"/>
      <c r="G25" s="13"/>
    </row>
    <row r="26" spans="5:7" x14ac:dyDescent="0.3">
      <c r="E26" s="13"/>
      <c r="F26" s="13"/>
      <c r="G26" s="13"/>
    </row>
    <row r="27" spans="5:7" x14ac:dyDescent="0.3">
      <c r="E27" s="13"/>
      <c r="F27" s="13"/>
      <c r="G27" s="13"/>
    </row>
    <row r="28" spans="5:7" x14ac:dyDescent="0.3">
      <c r="E28" s="13"/>
      <c r="F28" s="13"/>
      <c r="G28" s="13"/>
    </row>
    <row r="29" spans="5:7" x14ac:dyDescent="0.3">
      <c r="E29" s="13"/>
      <c r="F29" s="13"/>
      <c r="G29" s="13"/>
    </row>
    <row r="30" spans="5:7" x14ac:dyDescent="0.3">
      <c r="E30" s="13"/>
      <c r="F30" s="13"/>
      <c r="G30" s="13"/>
    </row>
  </sheetData>
  <mergeCells count="1">
    <mergeCell ref="E2:G2"/>
  </mergeCells>
  <pageMargins left="0.7" right="0.7" top="1.0266666666666666" bottom="0.75" header="0.3" footer="0.3"/>
  <pageSetup paperSize="9" scale="80" fitToHeight="0" orientation="landscape" r:id="rId1"/>
  <headerFooter>
    <oddHeader>&amp;CSITHEMBE TRANSPORTATION AND PROJECTS&amp;R&amp;"Aptos,Regular"&amp;9 285 Erasmus Ave, 
Raslouw AH, 
Centurion, 0157
info@sithembe.co.za
012 880 3155</oddHeader>
    <oddFooter>&amp;L&amp;G&amp;RDate: 13-January-2025</oddFooter>
  </headerFooter>
  <rowBreaks count="1" manualBreakCount="1">
    <brk id="8" max="6" man="1"/>
  </rowBreaks>
  <legacyDrawingHF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f62d4ef4-b04a-4b31-a502-7b4d1ae74549">
      <Terms xmlns="http://schemas.microsoft.com/office/infopath/2007/PartnerControls"/>
    </lcf76f155ced4ddcb4097134ff3c332f>
    <TaxCatchAll xmlns="3e1fb217-3513-4a84-b39a-87d8fab7c42d"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4F889B8502A024479EA1CF80A2D6DF12" ma:contentTypeVersion="13" ma:contentTypeDescription="Create a new document." ma:contentTypeScope="" ma:versionID="8091ae61a59d4988b9942b1a35aae76a">
  <xsd:schema xmlns:xsd="http://www.w3.org/2001/XMLSchema" xmlns:xs="http://www.w3.org/2001/XMLSchema" xmlns:p="http://schemas.microsoft.com/office/2006/metadata/properties" xmlns:ns2="f62d4ef4-b04a-4b31-a502-7b4d1ae74549" xmlns:ns3="3e1fb217-3513-4a84-b39a-87d8fab7c42d" targetNamespace="http://schemas.microsoft.com/office/2006/metadata/properties" ma:root="true" ma:fieldsID="8a3e649d8277a7bc611c6cb84cf7ec9a" ns2:_="" ns3:_="">
    <xsd:import namespace="f62d4ef4-b04a-4b31-a502-7b4d1ae74549"/>
    <xsd:import namespace="3e1fb217-3513-4a84-b39a-87d8fab7c42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62d4ef4-b04a-4b31-a502-7b4d1ae7454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a84de842-58e0-4cec-8a9b-39016af931cf"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e1fb217-3513-4a84-b39a-87d8fab7c42d"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40196097-f8ce-4c33-b49d-df6dd16643e2}" ma:internalName="TaxCatchAll" ma:showField="CatchAllData" ma:web="3e1fb217-3513-4a84-b39a-87d8fab7c42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453A1E6-8CF8-43F4-B36F-5FA86DAAE3BB}">
  <ds:schemaRefs>
    <ds:schemaRef ds:uri="http://schemas.microsoft.com/office/2006/metadata/properties"/>
    <ds:schemaRef ds:uri="http://schemas.microsoft.com/office/infopath/2007/PartnerControls"/>
    <ds:schemaRef ds:uri="f62d4ef4-b04a-4b31-a502-7b4d1ae74549"/>
    <ds:schemaRef ds:uri="3e1fb217-3513-4a84-b39a-87d8fab7c42d"/>
  </ds:schemaRefs>
</ds:datastoreItem>
</file>

<file path=customXml/itemProps2.xml><?xml version="1.0" encoding="utf-8"?>
<ds:datastoreItem xmlns:ds="http://schemas.openxmlformats.org/officeDocument/2006/customXml" ds:itemID="{88885B9C-4C7A-4741-A75F-21DBF5C19C51}">
  <ds:schemaRefs>
    <ds:schemaRef ds:uri="http://schemas.microsoft.com/sharepoint/v3/contenttype/forms"/>
  </ds:schemaRefs>
</ds:datastoreItem>
</file>

<file path=customXml/itemProps3.xml><?xml version="1.0" encoding="utf-8"?>
<ds:datastoreItem xmlns:ds="http://schemas.openxmlformats.org/officeDocument/2006/customXml" ds:itemID="{CDDB45FD-2A43-41D5-9E7A-C21767A4483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62d4ef4-b04a-4b31-a502-7b4d1ae74549"/>
    <ds:schemaRef ds:uri="3e1fb217-3513-4a84-b39a-87d8fab7c42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Accounts</dc:creator>
  <cp:lastModifiedBy>Accounts Sithembe</cp:lastModifiedBy>
  <cp:lastPrinted>2025-01-13T09:18:09Z</cp:lastPrinted>
  <dcterms:created xsi:type="dcterms:W3CDTF">2015-06-05T18:17:20Z</dcterms:created>
  <dcterms:modified xsi:type="dcterms:W3CDTF">2025-01-13T09:21:24Z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0x0101004F889B8502A024479EA1CF80A2D6DF12</vt:lpwstr>
  </property>
  <property fmtid="{D5CDD505-2E9C-101B-9397-08002B2CF9AE}" pid="3" name="MediaServiceImageTags">
    <vt:lpwstr/>
  </property>
</Properties>
</file>