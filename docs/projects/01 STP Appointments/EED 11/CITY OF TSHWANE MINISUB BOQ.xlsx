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THABISO\Downloads\"/>
    </mc:Choice>
  </mc:AlternateContent>
  <xr:revisionPtr revIDLastSave="0" documentId="8_{3FFE0C4A-435A-4C28-83A5-4656EA40667C}" xr6:coauthVersionLast="47" xr6:coauthVersionMax="47" xr10:uidLastSave="{00000000-0000-0000-0000-000000000000}"/>
  <bookViews>
    <workbookView xWindow="-120" yWindow="-120" windowWidth="20730" windowHeight="11040" xr2:uid="{59E840F5-DF38-4275-B300-9DD095260F92}"/>
  </bookViews>
  <sheets>
    <sheet name="SECTION 1" sheetId="1" r:id="rId1"/>
    <sheet name="SECTION 2" sheetId="2" r:id="rId2"/>
    <sheet name="SECTION 3" sheetId="3" r:id="rId3"/>
    <sheet name="SECTION 4" sheetId="4" r:id="rId4"/>
    <sheet name="SUMMARY OF PRIC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5" l="1"/>
  <c r="C9" i="5"/>
  <c r="C8" i="5"/>
  <c r="L24" i="2"/>
  <c r="K24" i="2"/>
  <c r="J24" i="2"/>
  <c r="I24" i="2"/>
  <c r="H24" i="2"/>
  <c r="G24" i="2"/>
  <c r="F24" i="2"/>
  <c r="E24" i="2"/>
  <c r="D24" i="2"/>
  <c r="E6" i="4"/>
  <c r="E5" i="4"/>
  <c r="E4" i="4"/>
  <c r="E7" i="4" s="1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32" i="3" s="1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99" i="3" s="1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68" i="3" s="1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39" i="3" l="1"/>
</calcChain>
</file>

<file path=xl/sharedStrings.xml><?xml version="1.0" encoding="utf-8"?>
<sst xmlns="http://schemas.openxmlformats.org/spreadsheetml/2006/main" count="358" uniqueCount="126">
  <si>
    <t>SECTION 1: Upgrading of miniature substation (MSS)</t>
  </si>
  <si>
    <t>ITEM</t>
  </si>
  <si>
    <t>Description</t>
  </si>
  <si>
    <t>Unit</t>
  </si>
  <si>
    <t>Est. Qty</t>
  </si>
  <si>
    <t>Unit Price</t>
  </si>
  <si>
    <t>Total Price Excluding VAT (Est Qty x Unit Price)</t>
  </si>
  <si>
    <t>MSS 315KVA</t>
  </si>
  <si>
    <t>Desta/ABB</t>
  </si>
  <si>
    <t>Each</t>
  </si>
  <si>
    <t>Hawker Siddeley</t>
  </si>
  <si>
    <t>GEC T3/OF</t>
  </si>
  <si>
    <t>MSS 500KVA</t>
  </si>
  <si>
    <t>MSS 630KVA</t>
  </si>
  <si>
    <t>MSS 800KVA</t>
  </si>
  <si>
    <t>Rebate for Tiger RMU</t>
  </si>
  <si>
    <t>Rebate for Tricon RMU To be deducted from the invoice amount</t>
  </si>
  <si>
    <t>To be deducted from the invoice amount</t>
  </si>
  <si>
    <t>GRAND TOTAL EXCLUDING VAT</t>
  </si>
  <si>
    <t>Rebate for T3/OF
To be deducted from the invoice amount</t>
  </si>
  <si>
    <t>Section 2: Form B:</t>
  </si>
  <si>
    <t>The totals per item will be at the bottom of the table.</t>
  </si>
  <si>
    <t>Unit Price (Excluding VAT)</t>
  </si>
  <si>
    <t>16kVA</t>
  </si>
  <si>
    <t>25kVA</t>
  </si>
  <si>
    <t>50kVA</t>
  </si>
  <si>
    <t>100kVA</t>
  </si>
  <si>
    <t>200kVA</t>
  </si>
  <si>
    <t>315kVA</t>
  </si>
  <si>
    <t>500kVA</t>
  </si>
  <si>
    <t>630kVA</t>
  </si>
  <si>
    <t>800kVA</t>
  </si>
  <si>
    <t>Strip, test and quote</t>
  </si>
  <si>
    <r>
      <rPr>
        <b/>
        <u/>
        <sz val="11"/>
        <color theme="1"/>
        <rFont val="Calibri"/>
        <family val="2"/>
      </rPr>
      <t>SECTION 2</t>
    </r>
    <r>
      <rPr>
        <b/>
        <sz val="11"/>
        <color theme="1"/>
        <rFont val="Calibri"/>
        <family val="2"/>
      </rPr>
      <t xml:space="preserve">: </t>
    </r>
    <r>
      <rPr>
        <b/>
        <u/>
        <sz val="11"/>
        <color theme="1"/>
        <rFont val="Calibri"/>
        <family val="2"/>
      </rPr>
      <t xml:space="preserve">Distribution transformer/ MSS-transformer </t>
    </r>
  </si>
  <si>
    <t>Replace HT Winding/ph.</t>
  </si>
  <si>
    <t>Replace LT Winding/ph.</t>
  </si>
  <si>
    <t>Replace HT Type C bushing/ph.</t>
  </si>
  <si>
    <t>Replace LT bushing/ph.</t>
  </si>
  <si>
    <t>Replace oil gauge (Refer to Table1 SANS 780)</t>
  </si>
  <si>
    <t>Installation of insulation oil per litre</t>
  </si>
  <si>
    <t>Purification of oil per litre</t>
  </si>
  <si>
    <t>Replace tap changer</t>
  </si>
  <si>
    <t>Install pole mounting brackets with clamps and bolts</t>
  </si>
  <si>
    <t>Replace tap changer handle</t>
  </si>
  <si>
    <t>Sandblasting, stripping</t>
  </si>
  <si>
    <t>Treat tank for protection against corrosion, inside and outside tank and reseal tank.</t>
  </si>
  <si>
    <t>Install earth bar</t>
  </si>
  <si>
    <t>Replace type C seals and gaskets, lid and cones.</t>
  </si>
  <si>
    <t>Perform routine tests</t>
  </si>
  <si>
    <t>Total Unit Prices</t>
  </si>
  <si>
    <t>Est.Qty</t>
  </si>
  <si>
    <t>Item Total Amount Excluding VAT (Total Unit Prices x Est.Qty)</t>
  </si>
  <si>
    <r>
      <rPr>
        <b/>
        <sz val="11"/>
        <color theme="1"/>
        <rFont val="Calibri"/>
        <family val="2"/>
      </rPr>
      <t>Grand Total Excluding VAT
(Sum of All Item Total Amounts)</t>
    </r>
  </si>
  <si>
    <t>SECTION 3: Refurbishment of miniature substation (MSS)</t>
  </si>
  <si>
    <t>Form B:  Section 3: continued;</t>
  </si>
  <si>
    <t>315kVA MSS</t>
  </si>
  <si>
    <t>Item</t>
  </si>
  <si>
    <t>Total Excluding VAT (Est.Qty x Unit Price</t>
  </si>
  <si>
    <t>LV connection cable between LV busbar and main MCB.</t>
  </si>
  <si>
    <t>LV phase copper busbar and busbar insulator.</t>
  </si>
  <si>
    <t>LV neutral copper busbar and busbar insulator.</t>
  </si>
  <si>
    <t>Copper Earth bar</t>
  </si>
  <si>
    <t>LV neutral Copper cladded Alu busbar and busbar insulator</t>
  </si>
  <si>
    <t>Copper cladded Alu Earth bar</t>
  </si>
  <si>
    <t>LV phase Copper cladded Alu busbar and busbar insulator</t>
  </si>
  <si>
    <t>MV compartment doors</t>
  </si>
  <si>
    <t>Per set</t>
  </si>
  <si>
    <t>LV compartment doors</t>
  </si>
  <si>
    <t>LV compartment door (transformer side)</t>
  </si>
  <si>
    <t>Streetlight compartment door</t>
  </si>
  <si>
    <t>Modification of arc vent chamber</t>
  </si>
  <si>
    <t>Refill of SF6 gas</t>
  </si>
  <si>
    <t>Per kilogram</t>
  </si>
  <si>
    <t>Changing/ repair of the locking mechanism</t>
  </si>
  <si>
    <t>Cylinder and latch per door</t>
  </si>
  <si>
    <t>Installation of bus-bars</t>
  </si>
  <si>
    <t>LV compartment wiring</t>
  </si>
  <si>
    <t>Per unit</t>
  </si>
  <si>
    <t>Replacement of corner vertical pillar beam</t>
  </si>
  <si>
    <t>Replacement of middle-section vertical pillar beam</t>
  </si>
  <si>
    <t>Replacement of base support vertical beam</t>
  </si>
  <si>
    <t>Replacement of roof support vertical beam</t>
  </si>
  <si>
    <t>Replacement of side panel</t>
  </si>
  <si>
    <t>Replacement of rear panel</t>
  </si>
  <si>
    <t>Spring charging motor</t>
  </si>
  <si>
    <t>Main circuit breaker</t>
  </si>
  <si>
    <t>Installation of oil on oil filled switches</t>
  </si>
  <si>
    <t>Per liter</t>
  </si>
  <si>
    <t>Strip and quote</t>
  </si>
  <si>
    <t>Aluminium Earth bar</t>
  </si>
  <si>
    <t>LV neutral Aluminium busbar and busbar insulator</t>
  </si>
  <si>
    <t>LV phase Aluminium and busbar insulator</t>
  </si>
  <si>
    <t>GRAND TOTAL Excluding VAT</t>
  </si>
  <si>
    <t>Per Unit</t>
  </si>
  <si>
    <t>500kVA MSS</t>
  </si>
  <si>
    <t>LV phase Copper busbar and busbar insulator.</t>
  </si>
  <si>
    <t>LV phase Copper cladded Alu busbar and busbar insulator.</t>
  </si>
  <si>
    <t>LV neutral Copper cladded Alu busbar and busbar insulator.</t>
  </si>
  <si>
    <t>Copper cladded Alu earth bar</t>
  </si>
  <si>
    <t>Installation of oil on oil filled units</t>
  </si>
  <si>
    <t>630kVA MSS</t>
  </si>
  <si>
    <t>LV neutral Copper busbar and busbar insulator.</t>
  </si>
  <si>
    <t>MV
compartment doors</t>
  </si>
  <si>
    <t>800kVA MSS</t>
  </si>
  <si>
    <t>Total Excluding VAT (Est.Qty x Unit Price)</t>
  </si>
  <si>
    <t>LV phase busbar and busbar insulator.</t>
  </si>
  <si>
    <t>LV neutral busbar and busbar insulator.</t>
  </si>
  <si>
    <t>Purification of oil</t>
  </si>
  <si>
    <t>Section 4: Transportation</t>
  </si>
  <si>
    <t>Vehicle Description</t>
  </si>
  <si>
    <t>Est.Qty (km)</t>
  </si>
  <si>
    <t>Price per Kilometer(R/km)</t>
  </si>
  <si>
    <t>Total Price (Est.Qty x Price per kilometer)</t>
  </si>
  <si>
    <t>1.5T Truck</t>
  </si>
  <si>
    <t>4T Truck</t>
  </si>
  <si>
    <t>8T Truck</t>
  </si>
  <si>
    <t>Summary Table</t>
  </si>
  <si>
    <t>Grand Total ( R )</t>
  </si>
  <si>
    <t>Section 1</t>
  </si>
  <si>
    <t>Section 2</t>
  </si>
  <si>
    <t>Section 3</t>
  </si>
  <si>
    <t>Section 4</t>
  </si>
  <si>
    <t>Total Excluding VAT</t>
  </si>
  <si>
    <t>VAT @ 15%</t>
  </si>
  <si>
    <t>Total Including VAT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</si>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</sst>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-1C09]#,##0.00"/>
  </numFmts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7E7E7E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4" fillId="0" borderId="2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1" fontId="1" fillId="0" borderId="3" xfId="0" applyNumberFormat="1" applyFont="1" applyBorder="1" applyAlignment="1">
      <alignment horizontal="center" vertical="top" shrinkToFi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1" fontId="1" fillId="0" borderId="10" xfId="0" applyNumberFormat="1" applyFont="1" applyBorder="1" applyAlignment="1">
      <alignment horizontal="center" vertical="top" shrinkToFi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" fontId="1" fillId="0" borderId="12" xfId="0" applyNumberFormat="1" applyFont="1" applyBorder="1" applyAlignment="1">
      <alignment horizontal="center" vertical="top" shrinkToFi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/>
    </xf>
    <xf numFmtId="1" fontId="1" fillId="0" borderId="3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1" fillId="0" borderId="16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9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wrapText="1"/>
    </xf>
    <xf numFmtId="1" fontId="4" fillId="2" borderId="18" xfId="0" applyNumberFormat="1" applyFont="1" applyFill="1" applyBorder="1" applyAlignment="1">
      <alignment horizontal="center" vertical="top" shrinkToFit="1"/>
    </xf>
    <xf numFmtId="0" fontId="1" fillId="0" borderId="14" xfId="0" applyFont="1" applyBorder="1" applyAlignment="1">
      <alignment horizontal="left" wrapText="1"/>
    </xf>
    <xf numFmtId="0" fontId="1" fillId="0" borderId="19" xfId="0" applyFont="1" applyBorder="1" applyAlignment="1">
      <alignment horizontal="left" vertical="top" wrapText="1"/>
    </xf>
    <xf numFmtId="1" fontId="4" fillId="2" borderId="9" xfId="0" applyNumberFormat="1" applyFont="1" applyFill="1" applyBorder="1" applyAlignment="1">
      <alignment horizontal="center" vertical="top" shrinkToFit="1"/>
    </xf>
    <xf numFmtId="0" fontId="1" fillId="0" borderId="3" xfId="0" applyFont="1" applyBorder="1" applyAlignment="1">
      <alignment horizontal="left" wrapText="1"/>
    </xf>
    <xf numFmtId="0" fontId="1" fillId="0" borderId="7" xfId="0" applyFont="1" applyBorder="1" applyAlignment="1">
      <alignment horizontal="left" vertical="center" wrapText="1"/>
    </xf>
    <xf numFmtId="1" fontId="4" fillId="2" borderId="16" xfId="0" applyNumberFormat="1" applyFont="1" applyFill="1" applyBorder="1" applyAlignment="1">
      <alignment horizontal="center" vertical="top" shrinkToFit="1"/>
    </xf>
    <xf numFmtId="0" fontId="1" fillId="0" borderId="5" xfId="0" applyFont="1" applyBorder="1" applyAlignment="1">
      <alignment horizontal="left" wrapText="1"/>
    </xf>
    <xf numFmtId="1" fontId="4" fillId="2" borderId="15" xfId="0" applyNumberFormat="1" applyFont="1" applyFill="1" applyBorder="1" applyAlignment="1">
      <alignment horizontal="center" vertical="top" shrinkToFit="1"/>
    </xf>
    <xf numFmtId="0" fontId="1" fillId="0" borderId="7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top" wrapText="1"/>
    </xf>
    <xf numFmtId="1" fontId="4" fillId="2" borderId="4" xfId="0" applyNumberFormat="1" applyFont="1" applyFill="1" applyBorder="1" applyAlignment="1">
      <alignment horizontal="center" vertical="top" shrinkToFit="1"/>
    </xf>
    <xf numFmtId="0" fontId="1" fillId="0" borderId="3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1" fontId="1" fillId="0" borderId="9" xfId="0" applyNumberFormat="1" applyFont="1" applyBorder="1" applyAlignment="1">
      <alignment horizontal="center" vertical="top" shrinkToFit="1"/>
    </xf>
    <xf numFmtId="0" fontId="1" fillId="0" borderId="5" xfId="0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shrinkToFit="1"/>
    </xf>
    <xf numFmtId="0" fontId="1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shrinkToFit="1"/>
    </xf>
    <xf numFmtId="0" fontId="1" fillId="0" borderId="24" xfId="0" applyFont="1" applyBorder="1" applyAlignment="1">
      <alignment horizontal="left" vertical="center" wrapText="1"/>
    </xf>
    <xf numFmtId="1" fontId="1" fillId="0" borderId="25" xfId="0" applyNumberFormat="1" applyFont="1" applyBorder="1" applyAlignment="1">
      <alignment horizontal="center" vertical="center" shrinkToFit="1"/>
    </xf>
    <xf numFmtId="1" fontId="1" fillId="0" borderId="7" xfId="0" applyNumberFormat="1" applyFont="1" applyBorder="1" applyAlignment="1">
      <alignment horizontal="center" vertical="center" shrinkToFit="1"/>
    </xf>
    <xf numFmtId="1" fontId="1" fillId="0" borderId="17" xfId="0" applyNumberFormat="1" applyFont="1" applyBorder="1" applyAlignment="1">
      <alignment horizontal="center" vertical="center" shrinkToFit="1"/>
    </xf>
    <xf numFmtId="0" fontId="1" fillId="0" borderId="1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shrinkToFit="1"/>
    </xf>
    <xf numFmtId="1" fontId="1" fillId="0" borderId="12" xfId="0" applyNumberFormat="1" applyFont="1" applyBorder="1" applyAlignment="1">
      <alignment horizontal="center" vertical="center" shrinkToFit="1"/>
    </xf>
    <xf numFmtId="1" fontId="1" fillId="0" borderId="21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vertical="center"/>
    </xf>
    <xf numFmtId="1" fontId="1" fillId="0" borderId="16" xfId="0" applyNumberFormat="1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shrinkToFit="1"/>
    </xf>
    <xf numFmtId="1" fontId="1" fillId="0" borderId="19" xfId="0" applyNumberFormat="1" applyFont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 indent="1"/>
    </xf>
    <xf numFmtId="1" fontId="1" fillId="0" borderId="0" xfId="0" applyNumberFormat="1" applyFont="1" applyAlignment="1">
      <alignment horizontal="center" vertical="top" shrinkToFit="1"/>
    </xf>
    <xf numFmtId="1" fontId="1" fillId="0" borderId="5" xfId="0" applyNumberFormat="1" applyFont="1" applyBorder="1" applyAlignment="1">
      <alignment horizontal="center" vertical="top" shrinkToFit="1"/>
    </xf>
    <xf numFmtId="0" fontId="1" fillId="3" borderId="2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" fillId="0" borderId="13" xfId="0" applyFont="1" applyBorder="1" applyAlignment="1">
      <alignment vertical="center" wrapText="1"/>
    </xf>
    <xf numFmtId="1" fontId="1" fillId="0" borderId="5" xfId="0" applyNumberFormat="1" applyFont="1" applyBorder="1" applyAlignment="1">
      <alignment horizontal="center" vertical="center" shrinkToFit="1"/>
    </xf>
    <xf numFmtId="0" fontId="4" fillId="2" borderId="7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1" fontId="1" fillId="0" borderId="14" xfId="0" applyNumberFormat="1" applyFont="1" applyBorder="1" applyAlignment="1">
      <alignment horizontal="center" vertical="center" shrinkToFit="1"/>
    </xf>
    <xf numFmtId="1" fontId="1" fillId="0" borderId="24" xfId="0" applyNumberFormat="1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22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4" fillId="2" borderId="14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shrinkToFit="1"/>
    </xf>
    <xf numFmtId="1" fontId="1" fillId="0" borderId="20" xfId="0" applyNumberFormat="1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" fontId="2" fillId="0" borderId="9" xfId="0" applyNumberFormat="1" applyFont="1" applyBorder="1" applyAlignment="1">
      <alignment horizontal="center" vertical="center" shrinkToFit="1"/>
    </xf>
    <xf numFmtId="0" fontId="3" fillId="0" borderId="16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shrinkToFit="1"/>
    </xf>
    <xf numFmtId="1" fontId="2" fillId="0" borderId="3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shrinkToFit="1"/>
    </xf>
    <xf numFmtId="1" fontId="2" fillId="0" borderId="10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shrinkToFit="1"/>
    </xf>
    <xf numFmtId="0" fontId="3" fillId="0" borderId="13" xfId="0" applyFont="1" applyBorder="1" applyAlignment="1">
      <alignment vertical="center" wrapText="1"/>
    </xf>
    <xf numFmtId="1" fontId="2" fillId="0" borderId="13" xfId="0" applyNumberFormat="1" applyFont="1" applyBorder="1" applyAlignment="1">
      <alignment horizontal="center" vertical="center" shrinkToFit="1"/>
    </xf>
    <xf numFmtId="0" fontId="1" fillId="0" borderId="14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1" fontId="2" fillId="0" borderId="24" xfId="0" applyNumberFormat="1" applyFont="1" applyBorder="1" applyAlignment="1">
      <alignment horizontal="center" vertical="center" shrinkToFit="1"/>
    </xf>
    <xf numFmtId="0" fontId="4" fillId="2" borderId="23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956C-718D-4680-B870-DFB23E6A2F4B}">
  <dimension ref="B2:G24"/>
  <sheetViews>
    <sheetView tabSelected="1" workbookViewId="0">
      <selection activeCell="F32" sqref="F32"/>
    </sheetView>
  </sheetViews>
  <sheetFormatPr defaultColWidth="8.875" defaultRowHeight="14.25"/>
  <cols>
    <col min="3" max="3" width="20.875" customWidth="1"/>
    <col min="4" max="4" width="8.625" style="93" customWidth="1"/>
    <col min="5" max="5" width="7.5" style="93" customWidth="1"/>
    <col min="6" max="6" width="24.125" customWidth="1"/>
    <col min="7" max="7" width="17.125" customWidth="1"/>
  </cols>
  <sheetData>
    <row r="2" spans="2:7" ht="37.700000000000003" customHeight="1" thickBot="1">
      <c r="B2" s="151" t="s">
        <v>0</v>
      </c>
      <c r="C2" s="151"/>
      <c r="D2" s="151"/>
      <c r="E2" s="151"/>
      <c r="F2" s="151"/>
      <c r="G2" s="151"/>
    </row>
    <row r="3" spans="2:7" s="37" customFormat="1" ht="48" customHeight="1" thickBot="1">
      <c r="B3" s="89" t="s">
        <v>1</v>
      </c>
      <c r="C3" s="90" t="s">
        <v>2</v>
      </c>
      <c r="D3" s="91" t="s">
        <v>3</v>
      </c>
      <c r="E3" s="96" t="s">
        <v>4</v>
      </c>
      <c r="F3" s="92" t="s">
        <v>5</v>
      </c>
      <c r="G3" s="90" t="s">
        <v>6</v>
      </c>
    </row>
    <row r="4" spans="2:7" ht="15.75" thickBot="1">
      <c r="B4" s="2"/>
      <c r="C4" s="3" t="s">
        <v>7</v>
      </c>
      <c r="D4" s="59"/>
      <c r="E4" s="62"/>
      <c r="F4" s="4"/>
      <c r="G4" s="5"/>
    </row>
    <row r="5" spans="2:7" ht="15.75" thickBot="1">
      <c r="B5" s="6">
        <v>1</v>
      </c>
      <c r="C5" s="7" t="s">
        <v>8</v>
      </c>
      <c r="D5" s="8" t="s">
        <v>9</v>
      </c>
      <c r="E5" s="6">
        <v>20</v>
      </c>
      <c r="F5" s="9">
        <v>291000</v>
      </c>
      <c r="G5" s="10">
        <f t="shared" ref="G5:G23" si="0">MMULT(E5,F5)</f>
        <v>5820000</v>
      </c>
    </row>
    <row r="6" spans="2:7" ht="15.75" thickBot="1">
      <c r="B6" s="11">
        <v>2</v>
      </c>
      <c r="C6" s="12" t="s">
        <v>10</v>
      </c>
      <c r="D6" s="13" t="s">
        <v>9</v>
      </c>
      <c r="E6" s="11">
        <v>15</v>
      </c>
      <c r="F6" s="4">
        <v>197400</v>
      </c>
      <c r="G6" s="5">
        <f t="shared" si="0"/>
        <v>2961000</v>
      </c>
    </row>
    <row r="7" spans="2:7" ht="15.75" thickBot="1">
      <c r="B7" s="6">
        <v>3</v>
      </c>
      <c r="C7" s="7" t="s">
        <v>11</v>
      </c>
      <c r="D7" s="8" t="s">
        <v>9</v>
      </c>
      <c r="E7" s="6">
        <v>20</v>
      </c>
      <c r="F7" s="9">
        <v>197000</v>
      </c>
      <c r="G7" s="10">
        <f t="shared" si="0"/>
        <v>3940000</v>
      </c>
    </row>
    <row r="8" spans="2:7" ht="15.75" thickBot="1">
      <c r="B8" s="5"/>
      <c r="C8" s="3" t="s">
        <v>12</v>
      </c>
      <c r="D8" s="59"/>
      <c r="E8" s="62">
        <v>1</v>
      </c>
      <c r="F8" s="4">
        <v>1</v>
      </c>
      <c r="G8" s="5">
        <f t="shared" si="0"/>
        <v>1</v>
      </c>
    </row>
    <row r="9" spans="2:7" ht="15.75" thickBot="1">
      <c r="B9" s="6">
        <v>4</v>
      </c>
      <c r="C9" s="7" t="s">
        <v>8</v>
      </c>
      <c r="D9" s="8" t="s">
        <v>9</v>
      </c>
      <c r="E9" s="6">
        <v>30</v>
      </c>
      <c r="F9" s="9">
        <v>291000</v>
      </c>
      <c r="G9" s="10">
        <f t="shared" si="0"/>
        <v>8730000</v>
      </c>
    </row>
    <row r="10" spans="2:7" ht="15.75" thickBot="1">
      <c r="B10" s="14">
        <v>5</v>
      </c>
      <c r="C10" s="15" t="s">
        <v>10</v>
      </c>
      <c r="D10" s="16" t="s">
        <v>9</v>
      </c>
      <c r="E10" s="14">
        <v>18</v>
      </c>
      <c r="F10" s="17">
        <v>197400</v>
      </c>
      <c r="G10" s="18">
        <f t="shared" si="0"/>
        <v>3553200</v>
      </c>
    </row>
    <row r="11" spans="2:7" ht="15.75" thickBot="1">
      <c r="B11" s="11">
        <v>6</v>
      </c>
      <c r="C11" s="12" t="s">
        <v>11</v>
      </c>
      <c r="D11" s="13" t="s">
        <v>9</v>
      </c>
      <c r="E11" s="11">
        <v>20</v>
      </c>
      <c r="F11" s="4">
        <v>197450</v>
      </c>
      <c r="G11" s="5">
        <f t="shared" si="0"/>
        <v>3949000</v>
      </c>
    </row>
    <row r="12" spans="2:7" ht="15.75" thickBot="1">
      <c r="B12" s="10"/>
      <c r="C12" s="19" t="s">
        <v>13</v>
      </c>
      <c r="D12" s="56"/>
      <c r="E12" s="23">
        <v>1</v>
      </c>
      <c r="F12" s="20">
        <v>1</v>
      </c>
      <c r="G12" s="10">
        <f t="shared" si="0"/>
        <v>1</v>
      </c>
    </row>
    <row r="13" spans="2:7" ht="15.75" thickBot="1">
      <c r="B13" s="11">
        <v>7</v>
      </c>
      <c r="C13" s="12" t="s">
        <v>8</v>
      </c>
      <c r="D13" s="13" t="s">
        <v>9</v>
      </c>
      <c r="E13" s="11">
        <v>25</v>
      </c>
      <c r="F13" s="4">
        <v>294370</v>
      </c>
      <c r="G13" s="5">
        <f t="shared" si="0"/>
        <v>7359250</v>
      </c>
    </row>
    <row r="14" spans="2:7" ht="15.75" thickBot="1">
      <c r="B14" s="6">
        <v>8</v>
      </c>
      <c r="C14" s="7" t="s">
        <v>10</v>
      </c>
      <c r="D14" s="8" t="s">
        <v>9</v>
      </c>
      <c r="E14" s="6">
        <v>20</v>
      </c>
      <c r="F14" s="9">
        <v>278450</v>
      </c>
      <c r="G14" s="10">
        <f t="shared" si="0"/>
        <v>5569000</v>
      </c>
    </row>
    <row r="15" spans="2:7" ht="15.75" thickBot="1">
      <c r="B15" s="11">
        <v>9</v>
      </c>
      <c r="C15" s="12" t="s">
        <v>11</v>
      </c>
      <c r="D15" s="13" t="s">
        <v>9</v>
      </c>
      <c r="E15" s="11">
        <v>10</v>
      </c>
      <c r="F15" s="4">
        <v>196540</v>
      </c>
      <c r="G15" s="5">
        <f t="shared" si="0"/>
        <v>1965400</v>
      </c>
    </row>
    <row r="16" spans="2:7" ht="15.75" thickBot="1">
      <c r="B16" s="10"/>
      <c r="C16" s="19" t="s">
        <v>14</v>
      </c>
      <c r="D16" s="56"/>
      <c r="E16" s="23">
        <v>1</v>
      </c>
      <c r="F16" s="9">
        <v>1</v>
      </c>
      <c r="G16" s="10">
        <f t="shared" si="0"/>
        <v>1</v>
      </c>
    </row>
    <row r="17" spans="2:7" ht="15.75" thickBot="1">
      <c r="B17" s="11">
        <v>10</v>
      </c>
      <c r="C17" s="12" t="s">
        <v>8</v>
      </c>
      <c r="D17" s="13" t="s">
        <v>9</v>
      </c>
      <c r="E17" s="11">
        <v>1</v>
      </c>
      <c r="F17" s="4">
        <v>298645</v>
      </c>
      <c r="G17" s="5">
        <f t="shared" si="0"/>
        <v>298645</v>
      </c>
    </row>
    <row r="18" spans="2:7" ht="15.75" thickBot="1">
      <c r="B18" s="6">
        <v>11</v>
      </c>
      <c r="C18" s="7" t="s">
        <v>10</v>
      </c>
      <c r="D18" s="8" t="s">
        <v>9</v>
      </c>
      <c r="E18" s="6">
        <v>10</v>
      </c>
      <c r="F18" s="9">
        <v>298640</v>
      </c>
      <c r="G18" s="10">
        <f t="shared" si="0"/>
        <v>2986400</v>
      </c>
    </row>
    <row r="19" spans="2:7" ht="15.75" thickBot="1">
      <c r="B19" s="11">
        <v>12</v>
      </c>
      <c r="C19" s="12" t="s">
        <v>11</v>
      </c>
      <c r="D19" s="13" t="s">
        <v>9</v>
      </c>
      <c r="E19" s="11">
        <v>10</v>
      </c>
      <c r="F19" s="4">
        <v>298650</v>
      </c>
      <c r="G19" s="5">
        <f t="shared" si="0"/>
        <v>2986500</v>
      </c>
    </row>
    <row r="20" spans="2:7" s="37" customFormat="1" ht="52.7" customHeight="1" thickBot="1">
      <c r="B20" s="22">
        <v>13</v>
      </c>
      <c r="C20" s="9" t="s">
        <v>16</v>
      </c>
      <c r="D20" s="23" t="s">
        <v>9</v>
      </c>
      <c r="E20" s="22">
        <v>15</v>
      </c>
      <c r="F20" s="9">
        <v>199860</v>
      </c>
      <c r="G20" s="10">
        <f t="shared" si="0"/>
        <v>2997900</v>
      </c>
    </row>
    <row r="21" spans="2:7" ht="18.600000000000001" customHeight="1" thickBot="1">
      <c r="B21" s="6">
        <v>14</v>
      </c>
      <c r="C21" s="7" t="s">
        <v>15</v>
      </c>
      <c r="D21" s="8" t="s">
        <v>9</v>
      </c>
      <c r="E21" s="6">
        <v>20</v>
      </c>
      <c r="F21" s="20">
        <v>199450</v>
      </c>
      <c r="G21" s="18">
        <f t="shared" si="0"/>
        <v>3989000</v>
      </c>
    </row>
    <row r="22" spans="2:7" ht="30.75" thickBot="1">
      <c r="B22" s="7"/>
      <c r="C22" s="7" t="s">
        <v>17</v>
      </c>
      <c r="D22" s="8"/>
      <c r="E22" s="53">
        <v>1</v>
      </c>
      <c r="F22" s="21">
        <v>199860</v>
      </c>
      <c r="G22" s="7">
        <f t="shared" si="0"/>
        <v>199860</v>
      </c>
    </row>
    <row r="23" spans="2:7" ht="45.75" thickBot="1">
      <c r="B23" s="22">
        <v>15</v>
      </c>
      <c r="C23" s="7" t="s">
        <v>19</v>
      </c>
      <c r="D23" s="8" t="s">
        <v>9</v>
      </c>
      <c r="E23" s="6">
        <v>20</v>
      </c>
      <c r="F23" s="25">
        <v>196370</v>
      </c>
      <c r="G23" s="7">
        <f t="shared" si="0"/>
        <v>3927400</v>
      </c>
    </row>
    <row r="24" spans="2:7" ht="32.450000000000003" customHeight="1" thickBot="1">
      <c r="B24" s="18"/>
      <c r="C24" s="152" t="s">
        <v>18</v>
      </c>
      <c r="D24" s="153"/>
      <c r="E24" s="153"/>
      <c r="F24" s="154"/>
      <c r="G24" s="18" t="s">
        <v>125</v>
      </c>
    </row>
  </sheetData>
  <mergeCells count="2">
    <mergeCell ref="B2:G2"/>
    <mergeCell ref="C24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D2C8-C772-4B66-9204-B329056623B0}">
  <dimension ref="A2:L28"/>
  <sheetViews>
    <sheetView topLeftCell="B15" workbookViewId="0">
      <selection activeCell="J16" sqref="J16"/>
    </sheetView>
  </sheetViews>
  <sheetFormatPr defaultColWidth="8.875" defaultRowHeight="14.25"/>
  <cols>
    <col min="1" max="1" width="8.875" hidden="1" customWidth="1"/>
    <col min="2" max="2" width="7.5" style="93" customWidth="1"/>
    <col min="3" max="3" width="19.875" customWidth="1"/>
    <col min="4" max="5" width="11.5" customWidth="1"/>
    <col min="6" max="6" width="11.375" customWidth="1"/>
    <col min="7" max="7" width="13.125" customWidth="1"/>
    <col min="8" max="8" width="18" customWidth="1"/>
    <col min="9" max="9" width="16.5" customWidth="1"/>
    <col min="10" max="10" width="14.875" customWidth="1"/>
    <col min="11" max="11" width="16.5" customWidth="1"/>
    <col min="12" max="12" width="19.875" customWidth="1"/>
  </cols>
  <sheetData>
    <row r="2" spans="2:12" s="26" customFormat="1" ht="27" customHeight="1">
      <c r="B2" s="158" t="s">
        <v>33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</row>
    <row r="3" spans="2:12" s="29" customFormat="1" ht="26.45" customHeight="1">
      <c r="B3" s="159" t="s">
        <v>20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2:12" s="29" customFormat="1" ht="27" customHeight="1" thickBot="1">
      <c r="B4" s="163" t="s">
        <v>21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</row>
    <row r="5" spans="2:12" ht="15.75" thickBot="1">
      <c r="B5" s="155" t="s">
        <v>22</v>
      </c>
      <c r="C5" s="156"/>
      <c r="D5" s="156"/>
      <c r="E5" s="156"/>
      <c r="F5" s="156"/>
      <c r="G5" s="156"/>
      <c r="H5" s="156"/>
      <c r="I5" s="156"/>
      <c r="J5" s="156"/>
      <c r="K5" s="156"/>
      <c r="L5" s="157"/>
    </row>
    <row r="6" spans="2:12" s="93" customFormat="1" ht="15.75" thickBot="1">
      <c r="B6" s="79" t="s">
        <v>56</v>
      </c>
      <c r="C6" s="100"/>
      <c r="D6" s="79" t="s">
        <v>23</v>
      </c>
      <c r="E6" s="101" t="s">
        <v>24</v>
      </c>
      <c r="F6" s="79" t="s">
        <v>25</v>
      </c>
      <c r="G6" s="101" t="s">
        <v>26</v>
      </c>
      <c r="H6" s="79" t="s">
        <v>27</v>
      </c>
      <c r="I6" s="101" t="s">
        <v>28</v>
      </c>
      <c r="J6" s="79" t="s">
        <v>29</v>
      </c>
      <c r="K6" s="101" t="s">
        <v>30</v>
      </c>
      <c r="L6" s="79" t="s">
        <v>31</v>
      </c>
    </row>
    <row r="7" spans="2:12" s="37" customFormat="1" ht="22.35" customHeight="1" thickBot="1">
      <c r="B7" s="97"/>
      <c r="C7" s="36" t="s">
        <v>2</v>
      </c>
      <c r="D7" s="34"/>
      <c r="E7" s="35"/>
      <c r="F7" s="34"/>
      <c r="G7" s="35"/>
      <c r="H7" s="34"/>
      <c r="I7" s="35"/>
      <c r="J7" s="34"/>
      <c r="K7" s="35"/>
      <c r="L7" s="34"/>
    </row>
    <row r="8" spans="2:12" ht="15.75" thickBot="1">
      <c r="B8" s="11">
        <v>1</v>
      </c>
      <c r="C8" s="27" t="s">
        <v>32</v>
      </c>
      <c r="D8" s="5">
        <v>1900</v>
      </c>
      <c r="E8" s="5">
        <v>1900</v>
      </c>
      <c r="F8" s="5">
        <v>1900</v>
      </c>
      <c r="G8" s="5">
        <v>1900</v>
      </c>
      <c r="H8" s="5">
        <v>1900</v>
      </c>
      <c r="I8" s="5">
        <v>1900</v>
      </c>
      <c r="J8" s="5">
        <v>1900</v>
      </c>
      <c r="K8" s="5">
        <v>1900</v>
      </c>
      <c r="L8" s="5">
        <v>2800</v>
      </c>
    </row>
    <row r="9" spans="2:12" ht="15.75" thickBot="1">
      <c r="B9" s="6">
        <v>2</v>
      </c>
      <c r="C9" s="21" t="s">
        <v>34</v>
      </c>
      <c r="D9" s="10">
        <v>7600</v>
      </c>
      <c r="E9" s="9">
        <v>7600</v>
      </c>
      <c r="F9" s="10">
        <v>7600</v>
      </c>
      <c r="G9" s="9">
        <v>7600</v>
      </c>
      <c r="H9" s="10">
        <v>7600</v>
      </c>
      <c r="I9" s="9">
        <v>7600</v>
      </c>
      <c r="J9" s="10">
        <v>7600</v>
      </c>
      <c r="K9" s="9">
        <v>18450</v>
      </c>
      <c r="L9" s="10">
        <v>19640</v>
      </c>
    </row>
    <row r="10" spans="2:12" ht="15.75" thickBot="1">
      <c r="B10" s="6">
        <v>3</v>
      </c>
      <c r="C10" s="21" t="s">
        <v>35</v>
      </c>
      <c r="D10" s="10">
        <v>4800</v>
      </c>
      <c r="E10" s="9">
        <v>4800</v>
      </c>
      <c r="F10" s="10">
        <v>4800</v>
      </c>
      <c r="G10" s="9">
        <v>4800</v>
      </c>
      <c r="H10" s="10">
        <v>4800</v>
      </c>
      <c r="I10" s="9">
        <v>4800</v>
      </c>
      <c r="J10" s="10">
        <v>4800</v>
      </c>
      <c r="K10" s="9">
        <v>19850</v>
      </c>
      <c r="L10" s="10">
        <v>19450</v>
      </c>
    </row>
    <row r="11" spans="2:12" ht="30.75" thickBot="1">
      <c r="B11" s="11">
        <v>4</v>
      </c>
      <c r="C11" s="27" t="s">
        <v>36</v>
      </c>
      <c r="D11" s="12">
        <v>3900</v>
      </c>
      <c r="E11" s="27">
        <v>3900</v>
      </c>
      <c r="F11" s="12">
        <v>3900</v>
      </c>
      <c r="G11" s="27">
        <v>3900</v>
      </c>
      <c r="H11" s="12">
        <v>3900</v>
      </c>
      <c r="I11" s="27">
        <v>3900</v>
      </c>
      <c r="J11" s="12">
        <v>3900</v>
      </c>
      <c r="K11" s="27">
        <v>5300</v>
      </c>
      <c r="L11" s="12">
        <v>5300</v>
      </c>
    </row>
    <row r="12" spans="2:12" ht="15.75" thickBot="1">
      <c r="B12" s="6">
        <v>5</v>
      </c>
      <c r="C12" s="21" t="s">
        <v>37</v>
      </c>
      <c r="D12" s="10">
        <v>4600</v>
      </c>
      <c r="E12" s="9">
        <v>4600</v>
      </c>
      <c r="F12" s="10">
        <v>4600</v>
      </c>
      <c r="G12" s="9">
        <v>4600</v>
      </c>
      <c r="H12" s="10">
        <v>4600</v>
      </c>
      <c r="I12" s="9">
        <v>4600</v>
      </c>
      <c r="J12" s="10">
        <v>4600</v>
      </c>
      <c r="K12" s="9">
        <v>9560</v>
      </c>
      <c r="L12" s="10">
        <v>8540</v>
      </c>
    </row>
    <row r="13" spans="2:12" ht="30.75" thickBot="1">
      <c r="B13" s="55">
        <v>6</v>
      </c>
      <c r="C13" s="30" t="s">
        <v>38</v>
      </c>
      <c r="D13" s="38">
        <v>1100</v>
      </c>
      <c r="E13" s="30">
        <v>1100</v>
      </c>
      <c r="F13" s="38">
        <v>1100</v>
      </c>
      <c r="G13" s="30">
        <v>1100</v>
      </c>
      <c r="H13" s="38">
        <v>1100</v>
      </c>
      <c r="I13" s="30">
        <v>1100</v>
      </c>
      <c r="J13" s="38">
        <v>1100</v>
      </c>
      <c r="K13" s="30">
        <v>1100</v>
      </c>
      <c r="L13" s="38">
        <v>1100</v>
      </c>
    </row>
    <row r="14" spans="2:12" ht="30.75" thickBot="1">
      <c r="B14" s="6">
        <v>7</v>
      </c>
      <c r="C14" s="21" t="s">
        <v>39</v>
      </c>
      <c r="D14" s="7">
        <v>53.49</v>
      </c>
      <c r="E14" s="21">
        <v>53.49</v>
      </c>
      <c r="F14" s="7">
        <v>53.49</v>
      </c>
      <c r="G14" s="21">
        <v>53.49</v>
      </c>
      <c r="H14" s="7">
        <v>53.49</v>
      </c>
      <c r="I14" s="21">
        <v>53.49</v>
      </c>
      <c r="J14" s="7">
        <v>53.49</v>
      </c>
      <c r="K14" s="21">
        <v>53.49</v>
      </c>
      <c r="L14" s="7">
        <v>53.49</v>
      </c>
    </row>
    <row r="15" spans="2:12" ht="30.75" thickBot="1">
      <c r="B15" s="11">
        <v>8</v>
      </c>
      <c r="C15" s="27" t="s">
        <v>40</v>
      </c>
      <c r="D15" s="5">
        <v>6.9</v>
      </c>
      <c r="E15" s="4">
        <v>6.9</v>
      </c>
      <c r="F15" s="5">
        <v>6.9</v>
      </c>
      <c r="G15" s="4">
        <v>6.9</v>
      </c>
      <c r="H15" s="5">
        <v>6.9</v>
      </c>
      <c r="I15" s="4">
        <v>6.9</v>
      </c>
      <c r="J15" s="5">
        <v>6.9</v>
      </c>
      <c r="K15" s="4">
        <v>6.9</v>
      </c>
      <c r="L15" s="5">
        <v>6.9</v>
      </c>
    </row>
    <row r="16" spans="2:12" ht="22.35" customHeight="1" thickBot="1">
      <c r="B16" s="6">
        <v>9</v>
      </c>
      <c r="C16" s="21" t="s">
        <v>41</v>
      </c>
      <c r="D16" s="10">
        <v>4700</v>
      </c>
      <c r="E16" s="9">
        <v>4700</v>
      </c>
      <c r="F16" s="10">
        <v>4700</v>
      </c>
      <c r="G16" s="9">
        <v>4700</v>
      </c>
      <c r="H16" s="10">
        <v>4700</v>
      </c>
      <c r="I16" s="9">
        <v>4700</v>
      </c>
      <c r="J16" s="10">
        <v>5500</v>
      </c>
      <c r="K16" s="9">
        <v>5500</v>
      </c>
      <c r="L16" s="10">
        <v>9600</v>
      </c>
    </row>
    <row r="17" spans="2:12" ht="30.75" thickBot="1">
      <c r="B17" s="11">
        <v>10</v>
      </c>
      <c r="C17" s="27" t="s">
        <v>43</v>
      </c>
      <c r="D17" s="12">
        <v>450</v>
      </c>
      <c r="E17" s="27">
        <v>450</v>
      </c>
      <c r="F17" s="12">
        <v>450</v>
      </c>
      <c r="G17" s="27">
        <v>450</v>
      </c>
      <c r="H17" s="12">
        <v>450</v>
      </c>
      <c r="I17" s="27">
        <v>450</v>
      </c>
      <c r="J17" s="12">
        <v>450</v>
      </c>
      <c r="K17" s="27">
        <v>450</v>
      </c>
      <c r="L17" s="12">
        <v>450</v>
      </c>
    </row>
    <row r="18" spans="2:12" ht="45.75" thickBot="1">
      <c r="B18" s="6">
        <v>11</v>
      </c>
      <c r="C18" s="21" t="s">
        <v>42</v>
      </c>
      <c r="D18" s="7">
        <v>1100</v>
      </c>
      <c r="E18" s="21">
        <v>1100</v>
      </c>
      <c r="F18" s="7">
        <v>1100</v>
      </c>
      <c r="G18" s="21">
        <v>1100</v>
      </c>
      <c r="H18" s="7">
        <v>1100</v>
      </c>
      <c r="I18" s="21">
        <v>4200</v>
      </c>
      <c r="J18" s="7">
        <v>4600</v>
      </c>
      <c r="K18" s="21">
        <v>4200</v>
      </c>
      <c r="L18" s="7">
        <v>4200</v>
      </c>
    </row>
    <row r="19" spans="2:12" ht="19.7" customHeight="1" thickBot="1">
      <c r="B19" s="55">
        <v>12</v>
      </c>
      <c r="C19" s="30" t="s">
        <v>44</v>
      </c>
      <c r="D19" s="31">
        <v>1500</v>
      </c>
      <c r="E19" s="32">
        <v>3200</v>
      </c>
      <c r="F19" s="2">
        <v>3200</v>
      </c>
      <c r="G19" s="32">
        <v>3200</v>
      </c>
      <c r="H19" s="2">
        <v>3200</v>
      </c>
      <c r="I19" s="32">
        <v>6500</v>
      </c>
      <c r="J19" s="2">
        <v>7500</v>
      </c>
      <c r="K19" s="32">
        <v>7500</v>
      </c>
      <c r="L19" s="2">
        <v>7900</v>
      </c>
    </row>
    <row r="20" spans="2:12" ht="75.75" thickBot="1">
      <c r="B20" s="6">
        <v>13</v>
      </c>
      <c r="C20" s="21" t="s">
        <v>45</v>
      </c>
      <c r="D20" s="7">
        <v>2000</v>
      </c>
      <c r="E20" s="21">
        <v>3400</v>
      </c>
      <c r="F20" s="7">
        <v>3400</v>
      </c>
      <c r="G20" s="21">
        <v>3400</v>
      </c>
      <c r="H20" s="7">
        <v>3400</v>
      </c>
      <c r="I20" s="21">
        <v>3400</v>
      </c>
      <c r="J20" s="7">
        <v>3400</v>
      </c>
      <c r="K20" s="21">
        <v>3400</v>
      </c>
      <c r="L20" s="7">
        <v>3400</v>
      </c>
    </row>
    <row r="21" spans="2:12" ht="25.35" customHeight="1" thickBot="1">
      <c r="B21" s="11">
        <v>14</v>
      </c>
      <c r="C21" s="27" t="s">
        <v>46</v>
      </c>
      <c r="D21" s="5">
        <v>1100</v>
      </c>
      <c r="E21" s="4">
        <v>1100</v>
      </c>
      <c r="F21" s="5">
        <v>1100</v>
      </c>
      <c r="G21" s="4">
        <v>1100</v>
      </c>
      <c r="H21" s="5">
        <v>1100</v>
      </c>
      <c r="I21" s="4">
        <v>1700</v>
      </c>
      <c r="J21" s="5">
        <v>1900</v>
      </c>
      <c r="K21" s="4">
        <v>2100</v>
      </c>
      <c r="L21" s="5">
        <v>2100</v>
      </c>
    </row>
    <row r="22" spans="2:12" ht="45.75" thickBot="1">
      <c r="B22" s="6">
        <v>15</v>
      </c>
      <c r="C22" s="21" t="s">
        <v>47</v>
      </c>
      <c r="D22" s="7">
        <v>1000</v>
      </c>
      <c r="E22" s="21">
        <v>1000</v>
      </c>
      <c r="F22" s="7">
        <v>1000</v>
      </c>
      <c r="G22" s="21">
        <v>1000</v>
      </c>
      <c r="H22" s="7">
        <v>1000</v>
      </c>
      <c r="I22" s="21">
        <v>3100</v>
      </c>
      <c r="J22" s="7">
        <v>3100</v>
      </c>
      <c r="K22" s="21">
        <v>3100</v>
      </c>
      <c r="L22" s="7">
        <v>3100</v>
      </c>
    </row>
    <row r="23" spans="2:12" ht="21.6" customHeight="1" thickBot="1">
      <c r="B23" s="11">
        <v>16</v>
      </c>
      <c r="C23" s="27" t="s">
        <v>48</v>
      </c>
      <c r="D23" s="5">
        <v>1500</v>
      </c>
      <c r="E23" s="4">
        <v>1500</v>
      </c>
      <c r="F23" s="5">
        <v>1500</v>
      </c>
      <c r="G23" s="4">
        <v>1500</v>
      </c>
      <c r="H23" s="5">
        <v>1500</v>
      </c>
      <c r="I23" s="4">
        <v>4900</v>
      </c>
      <c r="J23" s="5">
        <v>4900</v>
      </c>
      <c r="K23" s="4">
        <v>4900</v>
      </c>
      <c r="L23" s="5">
        <v>4900</v>
      </c>
    </row>
    <row r="24" spans="2:12" ht="26.45" customHeight="1" thickBot="1">
      <c r="B24" s="23"/>
      <c r="C24" s="24" t="s">
        <v>49</v>
      </c>
      <c r="D24" s="10">
        <f t="shared" ref="D24:L24" si="0">SUM(D8:D23)</f>
        <v>37310.39</v>
      </c>
      <c r="E24" s="10">
        <f t="shared" si="0"/>
        <v>40410.39</v>
      </c>
      <c r="F24" s="9">
        <f t="shared" si="0"/>
        <v>40410.39</v>
      </c>
      <c r="G24" s="10">
        <f t="shared" si="0"/>
        <v>40410.39</v>
      </c>
      <c r="H24" s="9">
        <f t="shared" si="0"/>
        <v>40410.39</v>
      </c>
      <c r="I24" s="10">
        <f t="shared" si="0"/>
        <v>52910.39</v>
      </c>
      <c r="J24" s="20">
        <f t="shared" si="0"/>
        <v>55310.39</v>
      </c>
      <c r="K24" s="9">
        <f t="shared" si="0"/>
        <v>87370.39</v>
      </c>
      <c r="L24" s="10">
        <f t="shared" si="0"/>
        <v>92540.39</v>
      </c>
    </row>
    <row r="25" spans="2:12" ht="29.45" customHeight="1" thickBot="1">
      <c r="B25" s="98"/>
      <c r="C25" s="51" t="s">
        <v>50</v>
      </c>
      <c r="D25" s="52">
        <v>100</v>
      </c>
      <c r="E25" s="48">
        <v>100</v>
      </c>
      <c r="F25" s="46">
        <v>70</v>
      </c>
      <c r="G25" s="48">
        <v>50</v>
      </c>
      <c r="H25" s="46">
        <v>50</v>
      </c>
      <c r="I25" s="48">
        <v>50</v>
      </c>
      <c r="J25" s="46">
        <v>20</v>
      </c>
      <c r="K25" s="43">
        <v>20</v>
      </c>
      <c r="L25" s="40">
        <v>20</v>
      </c>
    </row>
    <row r="26" spans="2:12" ht="15.75" thickBot="1">
      <c r="B26" s="99"/>
      <c r="C26" s="39"/>
      <c r="D26" s="49"/>
      <c r="E26" s="44"/>
      <c r="F26" s="47"/>
      <c r="G26" s="44"/>
      <c r="H26" s="47"/>
      <c r="I26" s="44"/>
      <c r="J26" s="47"/>
      <c r="K26" s="44"/>
      <c r="L26" s="41"/>
    </row>
    <row r="27" spans="2:12" ht="45.75" thickBot="1">
      <c r="B27" s="54"/>
      <c r="C27" s="28" t="s">
        <v>51</v>
      </c>
      <c r="D27" s="50"/>
      <c r="E27" s="15"/>
      <c r="F27" s="27"/>
      <c r="G27" s="15"/>
      <c r="H27" s="27"/>
      <c r="I27" s="15"/>
      <c r="J27" s="27"/>
      <c r="K27" s="15"/>
      <c r="L27" s="42"/>
    </row>
    <row r="28" spans="2:12" ht="60.75" thickBot="1">
      <c r="B28" s="53"/>
      <c r="C28" s="7" t="s">
        <v>52</v>
      </c>
      <c r="D28" s="160"/>
      <c r="E28" s="161"/>
      <c r="F28" s="161"/>
      <c r="G28" s="161"/>
      <c r="H28" s="161"/>
      <c r="I28" s="161"/>
      <c r="J28" s="161"/>
      <c r="K28" s="161"/>
      <c r="L28" s="162"/>
    </row>
  </sheetData>
  <mergeCells count="5">
    <mergeCell ref="B5:L5"/>
    <mergeCell ref="B2:L2"/>
    <mergeCell ref="B3:L3"/>
    <mergeCell ref="D28:L28"/>
    <mergeCell ref="B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458B-A69F-4EED-ACE9-6EEC9C0A027E}">
  <dimension ref="A2:G136"/>
  <sheetViews>
    <sheetView topLeftCell="A121" workbookViewId="0">
      <selection activeCell="F137" sqref="F137"/>
    </sheetView>
  </sheetViews>
  <sheetFormatPr defaultColWidth="8.875" defaultRowHeight="14.25"/>
  <cols>
    <col min="2" max="2" width="8.625" style="93" customWidth="1"/>
    <col min="3" max="3" width="24.625" customWidth="1"/>
    <col min="4" max="4" width="13.375" style="93" customWidth="1"/>
    <col min="5" max="5" width="15.375" style="93" customWidth="1"/>
    <col min="6" max="6" width="14.5" customWidth="1"/>
    <col min="7" max="7" width="15.125" customWidth="1"/>
  </cols>
  <sheetData>
    <row r="2" spans="1:7" s="29" customFormat="1" ht="37.700000000000003" customHeight="1">
      <c r="B2" s="164" t="s">
        <v>53</v>
      </c>
      <c r="C2" s="164"/>
      <c r="D2" s="164"/>
      <c r="E2" s="164"/>
      <c r="F2" s="164"/>
      <c r="G2" s="164"/>
    </row>
    <row r="3" spans="1:7" s="29" customFormat="1" ht="25.7" customHeight="1" thickBot="1">
      <c r="B3" s="171" t="s">
        <v>54</v>
      </c>
      <c r="C3" s="171"/>
      <c r="D3" s="171"/>
      <c r="E3" s="171"/>
      <c r="F3" s="171"/>
      <c r="G3" s="171"/>
    </row>
    <row r="4" spans="1:7" s="37" customFormat="1" ht="20.45" customHeight="1" thickBot="1">
      <c r="B4" s="165" t="s">
        <v>55</v>
      </c>
      <c r="C4" s="166"/>
      <c r="D4" s="166"/>
      <c r="E4" s="167"/>
      <c r="F4" s="33"/>
      <c r="G4" s="34"/>
    </row>
    <row r="5" spans="1:7" s="104" customFormat="1" ht="43.35" customHeight="1" thickBot="1">
      <c r="B5" s="102" t="s">
        <v>56</v>
      </c>
      <c r="C5" s="105" t="s">
        <v>2</v>
      </c>
      <c r="D5" s="103" t="s">
        <v>3</v>
      </c>
      <c r="E5" s="102" t="s">
        <v>50</v>
      </c>
      <c r="F5" s="103" t="s">
        <v>5</v>
      </c>
      <c r="G5" s="106" t="s">
        <v>57</v>
      </c>
    </row>
    <row r="6" spans="1:7" s="37" customFormat="1" ht="30.75" thickBot="1">
      <c r="B6" s="22">
        <v>1</v>
      </c>
      <c r="C6" s="20" t="s">
        <v>58</v>
      </c>
      <c r="D6" s="56" t="s">
        <v>9</v>
      </c>
      <c r="E6" s="22">
        <v>15</v>
      </c>
      <c r="F6" s="9">
        <v>2100</v>
      </c>
      <c r="G6" s="10">
        <f t="shared" ref="G6:G30" si="0">MMULT(E6,F6)</f>
        <v>31500</v>
      </c>
    </row>
    <row r="7" spans="1:7" s="37" customFormat="1" ht="30.75" thickBot="1">
      <c r="B7" s="57">
        <v>2</v>
      </c>
      <c r="C7" s="58" t="s">
        <v>59</v>
      </c>
      <c r="D7" s="59" t="s">
        <v>9</v>
      </c>
      <c r="E7" s="57">
        <v>15</v>
      </c>
      <c r="F7" s="4">
        <v>6800</v>
      </c>
      <c r="G7" s="5">
        <f t="shared" si="0"/>
        <v>102000</v>
      </c>
    </row>
    <row r="8" spans="1:7" s="37" customFormat="1" ht="30.75" thickBot="1">
      <c r="B8" s="22">
        <v>3</v>
      </c>
      <c r="C8" s="20" t="s">
        <v>60</v>
      </c>
      <c r="D8" s="56" t="s">
        <v>9</v>
      </c>
      <c r="E8" s="22">
        <v>15</v>
      </c>
      <c r="F8" s="9">
        <v>6800</v>
      </c>
      <c r="G8" s="10">
        <f t="shared" si="0"/>
        <v>102000</v>
      </c>
    </row>
    <row r="9" spans="1:7" s="37" customFormat="1" ht="15.75" thickBot="1">
      <c r="B9" s="57">
        <v>4</v>
      </c>
      <c r="C9" s="17" t="s">
        <v>61</v>
      </c>
      <c r="D9" s="60" t="s">
        <v>9</v>
      </c>
      <c r="E9" s="57">
        <v>15</v>
      </c>
      <c r="F9" s="4">
        <v>2600</v>
      </c>
      <c r="G9" s="5">
        <f t="shared" si="0"/>
        <v>39000</v>
      </c>
    </row>
    <row r="10" spans="1:7" s="37" customFormat="1" ht="30.75" thickBot="1">
      <c r="B10" s="22">
        <v>5</v>
      </c>
      <c r="C10" s="45" t="s">
        <v>62</v>
      </c>
      <c r="D10" s="23" t="s">
        <v>9</v>
      </c>
      <c r="E10" s="22">
        <v>15</v>
      </c>
      <c r="F10" s="9">
        <v>5560</v>
      </c>
      <c r="G10" s="10">
        <f t="shared" si="0"/>
        <v>83400</v>
      </c>
    </row>
    <row r="11" spans="1:7" s="37" customFormat="1" ht="15.75" thickBot="1">
      <c r="B11" s="57">
        <v>6</v>
      </c>
      <c r="C11" s="61" t="s">
        <v>63</v>
      </c>
      <c r="D11" s="62" t="s">
        <v>9</v>
      </c>
      <c r="E11" s="57">
        <v>15</v>
      </c>
      <c r="F11" s="4">
        <v>5560</v>
      </c>
      <c r="G11" s="5">
        <f t="shared" si="0"/>
        <v>83400</v>
      </c>
    </row>
    <row r="12" spans="1:7" s="37" customFormat="1" ht="30.75" thickBot="1">
      <c r="B12" s="22">
        <v>7</v>
      </c>
      <c r="C12" s="45" t="s">
        <v>64</v>
      </c>
      <c r="D12" s="23" t="s">
        <v>9</v>
      </c>
      <c r="E12" s="22">
        <v>15</v>
      </c>
      <c r="F12" s="9">
        <v>6500</v>
      </c>
      <c r="G12" s="10">
        <f t="shared" si="0"/>
        <v>97500</v>
      </c>
    </row>
    <row r="13" spans="1:7" s="37" customFormat="1" ht="19.7" customHeight="1" thickBot="1">
      <c r="B13" s="63">
        <v>8</v>
      </c>
      <c r="C13" s="4" t="s">
        <v>65</v>
      </c>
      <c r="D13" s="62" t="s">
        <v>66</v>
      </c>
      <c r="E13" s="57">
        <v>15</v>
      </c>
      <c r="F13" s="4">
        <v>13200</v>
      </c>
      <c r="G13" s="5">
        <f t="shared" si="0"/>
        <v>198000</v>
      </c>
    </row>
    <row r="14" spans="1:7" s="37" customFormat="1" ht="19.350000000000001" customHeight="1" thickBot="1">
      <c r="B14" s="22">
        <v>9</v>
      </c>
      <c r="C14" s="9" t="s">
        <v>67</v>
      </c>
      <c r="D14" s="23" t="s">
        <v>66</v>
      </c>
      <c r="E14" s="22">
        <v>15</v>
      </c>
      <c r="F14" s="9">
        <v>7600</v>
      </c>
      <c r="G14" s="10">
        <f t="shared" si="0"/>
        <v>114000</v>
      </c>
    </row>
    <row r="15" spans="1:7" s="37" customFormat="1" ht="30.75" thickBot="1">
      <c r="B15" s="66">
        <v>10</v>
      </c>
      <c r="C15" s="10" t="s">
        <v>68</v>
      </c>
      <c r="D15" s="56" t="s">
        <v>9</v>
      </c>
      <c r="E15" s="22">
        <v>15</v>
      </c>
      <c r="F15" s="9">
        <v>5500</v>
      </c>
      <c r="G15" s="10">
        <f t="shared" si="0"/>
        <v>82500</v>
      </c>
    </row>
    <row r="16" spans="1:7" s="37" customFormat="1" ht="15.75" thickBot="1">
      <c r="A16" s="74"/>
      <c r="B16" s="75">
        <v>11</v>
      </c>
      <c r="C16" s="31" t="s">
        <v>69</v>
      </c>
      <c r="D16" s="68" t="s">
        <v>9</v>
      </c>
      <c r="E16" s="71">
        <v>15</v>
      </c>
      <c r="F16" s="32">
        <v>4500</v>
      </c>
      <c r="G16" s="2">
        <f t="shared" si="0"/>
        <v>67500</v>
      </c>
    </row>
    <row r="17" spans="1:7" s="37" customFormat="1" ht="30.75" thickBot="1">
      <c r="A17" s="74"/>
      <c r="B17" s="66">
        <v>12</v>
      </c>
      <c r="C17" s="10" t="s">
        <v>70</v>
      </c>
      <c r="D17" s="56" t="s">
        <v>9</v>
      </c>
      <c r="E17" s="22">
        <v>15</v>
      </c>
      <c r="F17" s="9">
        <v>4800</v>
      </c>
      <c r="G17" s="10">
        <f t="shared" si="0"/>
        <v>72000</v>
      </c>
    </row>
    <row r="18" spans="1:7" s="37" customFormat="1" ht="19.350000000000001" customHeight="1" thickBot="1">
      <c r="A18" s="74"/>
      <c r="B18" s="77">
        <v>13</v>
      </c>
      <c r="C18" s="5" t="s">
        <v>71</v>
      </c>
      <c r="D18" s="59" t="s">
        <v>72</v>
      </c>
      <c r="E18" s="57">
        <v>15</v>
      </c>
      <c r="F18" s="4">
        <v>690</v>
      </c>
      <c r="G18" s="5">
        <f t="shared" si="0"/>
        <v>10350</v>
      </c>
    </row>
    <row r="19" spans="1:7" s="37" customFormat="1" ht="30.75" thickBot="1">
      <c r="A19" s="74"/>
      <c r="B19" s="66">
        <v>14</v>
      </c>
      <c r="C19" s="10" t="s">
        <v>73</v>
      </c>
      <c r="D19" s="56" t="s">
        <v>9</v>
      </c>
      <c r="E19" s="22">
        <v>15</v>
      </c>
      <c r="F19" s="9">
        <v>4300</v>
      </c>
      <c r="G19" s="10">
        <f t="shared" si="0"/>
        <v>64500</v>
      </c>
    </row>
    <row r="20" spans="1:7" s="37" customFormat="1" ht="27" customHeight="1" thickBot="1">
      <c r="A20" s="74"/>
      <c r="B20" s="78">
        <v>15</v>
      </c>
      <c r="C20" s="5" t="s">
        <v>74</v>
      </c>
      <c r="D20" s="59" t="s">
        <v>9</v>
      </c>
      <c r="E20" s="57">
        <v>15</v>
      </c>
      <c r="F20" s="4">
        <v>4300</v>
      </c>
      <c r="G20" s="5">
        <f t="shared" si="0"/>
        <v>64500</v>
      </c>
    </row>
    <row r="21" spans="1:7" s="37" customFormat="1" ht="23.45" customHeight="1" thickBot="1">
      <c r="B21" s="22">
        <v>16</v>
      </c>
      <c r="C21" s="10" t="s">
        <v>75</v>
      </c>
      <c r="D21" s="56" t="s">
        <v>9</v>
      </c>
      <c r="E21" s="22">
        <v>15</v>
      </c>
      <c r="F21" s="9">
        <v>2500</v>
      </c>
      <c r="G21" s="10">
        <f t="shared" si="0"/>
        <v>37500</v>
      </c>
    </row>
    <row r="22" spans="1:7" s="37" customFormat="1" ht="26.45" customHeight="1" thickBot="1">
      <c r="B22" s="22">
        <v>17</v>
      </c>
      <c r="C22" s="10" t="s">
        <v>76</v>
      </c>
      <c r="D22" s="56" t="s">
        <v>77</v>
      </c>
      <c r="E22" s="22">
        <v>15</v>
      </c>
      <c r="F22" s="9">
        <v>9600</v>
      </c>
      <c r="G22" s="10">
        <f t="shared" si="0"/>
        <v>144000</v>
      </c>
    </row>
    <row r="23" spans="1:7" s="37" customFormat="1" ht="30.75" thickBot="1">
      <c r="B23" s="57">
        <v>18</v>
      </c>
      <c r="C23" s="5" t="s">
        <v>78</v>
      </c>
      <c r="D23" s="59" t="s">
        <v>9</v>
      </c>
      <c r="E23" s="57">
        <v>15</v>
      </c>
      <c r="F23" s="4">
        <v>2900</v>
      </c>
      <c r="G23" s="5">
        <f t="shared" si="0"/>
        <v>43500</v>
      </c>
    </row>
    <row r="24" spans="1:7" s="37" customFormat="1" ht="32.450000000000003" customHeight="1" thickBot="1">
      <c r="B24" s="22">
        <v>19</v>
      </c>
      <c r="C24" s="10" t="s">
        <v>79</v>
      </c>
      <c r="D24" s="56" t="s">
        <v>9</v>
      </c>
      <c r="E24" s="22">
        <v>15</v>
      </c>
      <c r="F24" s="9">
        <v>2900</v>
      </c>
      <c r="G24" s="10">
        <f t="shared" si="0"/>
        <v>43500</v>
      </c>
    </row>
    <row r="25" spans="1:7" s="37" customFormat="1" ht="30.75" thickBot="1">
      <c r="B25" s="72">
        <v>20</v>
      </c>
      <c r="C25" s="5" t="s">
        <v>80</v>
      </c>
      <c r="D25" s="59" t="s">
        <v>9</v>
      </c>
      <c r="E25" s="57">
        <v>15</v>
      </c>
      <c r="F25" s="4">
        <v>6400</v>
      </c>
      <c r="G25" s="5">
        <f t="shared" si="0"/>
        <v>96000</v>
      </c>
    </row>
    <row r="26" spans="1:7" s="37" customFormat="1" ht="30.75" thickBot="1">
      <c r="B26" s="65">
        <v>21</v>
      </c>
      <c r="C26" s="2" t="s">
        <v>81</v>
      </c>
      <c r="D26" s="69" t="s">
        <v>9</v>
      </c>
      <c r="E26" s="63">
        <v>15</v>
      </c>
      <c r="F26" s="64">
        <v>4500</v>
      </c>
      <c r="G26" s="2">
        <f t="shared" si="0"/>
        <v>67500</v>
      </c>
    </row>
    <row r="27" spans="1:7" s="37" customFormat="1" ht="18" customHeight="1" thickBot="1">
      <c r="B27" s="66">
        <v>22</v>
      </c>
      <c r="C27" s="10" t="s">
        <v>82</v>
      </c>
      <c r="D27" s="56" t="s">
        <v>9</v>
      </c>
      <c r="E27" s="22">
        <v>15</v>
      </c>
      <c r="F27" s="9">
        <v>7500</v>
      </c>
      <c r="G27" s="10">
        <f t="shared" si="0"/>
        <v>112500</v>
      </c>
    </row>
    <row r="28" spans="1:7" s="37" customFormat="1" ht="18" customHeight="1" thickBot="1">
      <c r="B28" s="67">
        <v>23</v>
      </c>
      <c r="C28" s="18" t="s">
        <v>83</v>
      </c>
      <c r="D28" s="70" t="s">
        <v>9</v>
      </c>
      <c r="E28" s="72">
        <v>15</v>
      </c>
      <c r="F28" s="17">
        <v>9600</v>
      </c>
      <c r="G28" s="18">
        <f t="shared" si="0"/>
        <v>144000</v>
      </c>
    </row>
    <row r="29" spans="1:7" s="37" customFormat="1" ht="19.7" customHeight="1" thickBot="1">
      <c r="B29" s="63">
        <v>24</v>
      </c>
      <c r="C29" s="32" t="s">
        <v>84</v>
      </c>
      <c r="D29" s="60" t="s">
        <v>9</v>
      </c>
      <c r="E29" s="75">
        <v>15</v>
      </c>
      <c r="F29" s="2">
        <v>6400</v>
      </c>
      <c r="G29" s="2">
        <f t="shared" si="0"/>
        <v>96000</v>
      </c>
    </row>
    <row r="30" spans="1:7" s="37" customFormat="1" ht="20.45" customHeight="1" thickBot="1">
      <c r="B30" s="22">
        <v>25</v>
      </c>
      <c r="C30" s="9" t="s">
        <v>85</v>
      </c>
      <c r="D30" s="23" t="s">
        <v>9</v>
      </c>
      <c r="E30" s="110">
        <v>20</v>
      </c>
      <c r="F30" s="10">
        <v>49600</v>
      </c>
      <c r="G30" s="10">
        <f t="shared" si="0"/>
        <v>992000</v>
      </c>
    </row>
    <row r="31" spans="1:7" s="37" customFormat="1" ht="30.75" thickBot="1">
      <c r="B31" s="57">
        <v>26</v>
      </c>
      <c r="C31" s="4" t="s">
        <v>86</v>
      </c>
      <c r="D31" s="62" t="s">
        <v>87</v>
      </c>
      <c r="E31" s="77">
        <v>20</v>
      </c>
      <c r="F31" s="5">
        <v>59.6</v>
      </c>
      <c r="G31" s="5">
        <f>MMULT(E31,F32)</f>
        <v>327200</v>
      </c>
    </row>
    <row r="32" spans="1:7" s="37" customFormat="1" ht="18.600000000000001" customHeight="1" thickBot="1">
      <c r="B32" s="22">
        <v>27</v>
      </c>
      <c r="C32" s="9" t="s">
        <v>88</v>
      </c>
      <c r="D32" s="23" t="s">
        <v>93</v>
      </c>
      <c r="E32" s="110">
        <v>20</v>
      </c>
      <c r="F32" s="10">
        <v>16360</v>
      </c>
      <c r="G32" s="10">
        <f t="shared" ref="G32:G38" si="1">MMULT(E32,F32)</f>
        <v>327200</v>
      </c>
    </row>
    <row r="33" spans="2:7" s="37" customFormat="1" ht="30.75" thickBot="1">
      <c r="B33" s="57">
        <v>28</v>
      </c>
      <c r="C33" s="4" t="s">
        <v>59</v>
      </c>
      <c r="D33" s="62" t="s">
        <v>9</v>
      </c>
      <c r="E33" s="77">
        <v>20</v>
      </c>
      <c r="F33" s="5">
        <v>7400</v>
      </c>
      <c r="G33" s="5">
        <f t="shared" si="1"/>
        <v>148000</v>
      </c>
    </row>
    <row r="34" spans="2:7" s="37" customFormat="1" ht="30.75" thickBot="1">
      <c r="B34" s="22">
        <v>29</v>
      </c>
      <c r="C34" s="9" t="s">
        <v>60</v>
      </c>
      <c r="D34" s="23" t="s">
        <v>9</v>
      </c>
      <c r="E34" s="110">
        <v>20</v>
      </c>
      <c r="F34" s="10">
        <v>7400</v>
      </c>
      <c r="G34" s="10">
        <f t="shared" si="1"/>
        <v>148000</v>
      </c>
    </row>
    <row r="35" spans="2:7" s="37" customFormat="1" ht="24.6" customHeight="1" thickBot="1">
      <c r="B35" s="57">
        <v>30</v>
      </c>
      <c r="C35" s="4" t="s">
        <v>89</v>
      </c>
      <c r="D35" s="62" t="s">
        <v>9</v>
      </c>
      <c r="E35" s="77">
        <v>20</v>
      </c>
      <c r="F35" s="5">
        <v>4500</v>
      </c>
      <c r="G35" s="5">
        <f t="shared" si="1"/>
        <v>90000</v>
      </c>
    </row>
    <row r="36" spans="2:7" s="37" customFormat="1" ht="30.75" thickBot="1">
      <c r="B36" s="22">
        <v>31</v>
      </c>
      <c r="C36" s="9" t="s">
        <v>90</v>
      </c>
      <c r="D36" s="23" t="s">
        <v>9</v>
      </c>
      <c r="E36" s="110">
        <v>20</v>
      </c>
      <c r="F36" s="10">
        <v>4500</v>
      </c>
      <c r="G36" s="10">
        <f t="shared" si="1"/>
        <v>90000</v>
      </c>
    </row>
    <row r="37" spans="2:7" s="37" customFormat="1" ht="19.350000000000001" customHeight="1" thickBot="1">
      <c r="B37" s="57">
        <v>32</v>
      </c>
      <c r="C37" s="4" t="s">
        <v>89</v>
      </c>
      <c r="D37" s="62" t="s">
        <v>9</v>
      </c>
      <c r="E37" s="77">
        <v>20</v>
      </c>
      <c r="F37" s="5">
        <v>3200</v>
      </c>
      <c r="G37" s="5">
        <f t="shared" si="1"/>
        <v>64000</v>
      </c>
    </row>
    <row r="38" spans="2:7" s="37" customFormat="1" ht="30.75" thickBot="1">
      <c r="B38" s="22">
        <v>33</v>
      </c>
      <c r="C38" s="9" t="s">
        <v>91</v>
      </c>
      <c r="D38" s="23" t="s">
        <v>9</v>
      </c>
      <c r="E38" s="110">
        <v>20</v>
      </c>
      <c r="F38" s="10">
        <v>5400</v>
      </c>
      <c r="G38" s="10">
        <f t="shared" si="1"/>
        <v>108000</v>
      </c>
    </row>
    <row r="39" spans="2:7" s="37" customFormat="1" ht="20.45" customHeight="1" thickBot="1">
      <c r="B39" s="168" t="s">
        <v>92</v>
      </c>
      <c r="C39" s="169"/>
      <c r="D39" s="169"/>
      <c r="E39" s="169"/>
      <c r="F39" s="170"/>
      <c r="G39" s="10">
        <f>SUM(G6:G38)</f>
        <v>4291050</v>
      </c>
    </row>
    <row r="40" spans="2:7" s="37" customFormat="1" ht="15" thickBot="1">
      <c r="B40" s="104"/>
      <c r="D40" s="104"/>
      <c r="E40" s="104"/>
    </row>
    <row r="41" spans="2:7" s="37" customFormat="1" ht="25.7" customHeight="1" thickBot="1">
      <c r="B41" s="165" t="s">
        <v>94</v>
      </c>
      <c r="C41" s="166"/>
      <c r="D41" s="166"/>
      <c r="E41" s="167"/>
      <c r="F41" s="111"/>
      <c r="G41" s="112"/>
    </row>
    <row r="42" spans="2:7" s="104" customFormat="1" ht="46.7" customHeight="1" thickBot="1">
      <c r="B42" s="102" t="s">
        <v>56</v>
      </c>
      <c r="C42" s="102" t="s">
        <v>2</v>
      </c>
      <c r="D42" s="103" t="s">
        <v>3</v>
      </c>
      <c r="E42" s="102" t="s">
        <v>50</v>
      </c>
      <c r="F42" s="103" t="s">
        <v>5</v>
      </c>
      <c r="G42" s="106" t="s">
        <v>57</v>
      </c>
    </row>
    <row r="43" spans="2:7" s="37" customFormat="1" ht="30.75" thickBot="1">
      <c r="B43" s="22">
        <v>1</v>
      </c>
      <c r="C43" s="10" t="s">
        <v>58</v>
      </c>
      <c r="D43" s="56" t="s">
        <v>9</v>
      </c>
      <c r="E43" s="22">
        <v>10</v>
      </c>
      <c r="F43" s="9">
        <v>4900</v>
      </c>
      <c r="G43" s="10">
        <f t="shared" ref="G43:G67" si="2">MMULT(E43,F43)</f>
        <v>49000</v>
      </c>
    </row>
    <row r="44" spans="2:7" s="37" customFormat="1" ht="30.75" thickBot="1">
      <c r="B44" s="57">
        <v>2</v>
      </c>
      <c r="C44" s="5" t="s">
        <v>95</v>
      </c>
      <c r="D44" s="59" t="s">
        <v>9</v>
      </c>
      <c r="E44" s="57">
        <v>10</v>
      </c>
      <c r="F44" s="4">
        <v>6500</v>
      </c>
      <c r="G44" s="5">
        <f t="shared" si="2"/>
        <v>65000</v>
      </c>
    </row>
    <row r="45" spans="2:7" s="37" customFormat="1" ht="15.75" thickBot="1">
      <c r="B45" s="22">
        <v>3</v>
      </c>
      <c r="C45" s="10" t="s">
        <v>61</v>
      </c>
      <c r="D45" s="56" t="s">
        <v>9</v>
      </c>
      <c r="E45" s="22">
        <v>10</v>
      </c>
      <c r="F45" s="9">
        <v>6500</v>
      </c>
      <c r="G45" s="10">
        <f t="shared" si="2"/>
        <v>65000</v>
      </c>
    </row>
    <row r="46" spans="2:7" s="37" customFormat="1" ht="30.75" thickBot="1">
      <c r="B46" s="57">
        <v>4</v>
      </c>
      <c r="C46" s="5" t="s">
        <v>96</v>
      </c>
      <c r="D46" s="59" t="s">
        <v>9</v>
      </c>
      <c r="E46" s="57">
        <v>10</v>
      </c>
      <c r="F46" s="4">
        <v>6500</v>
      </c>
      <c r="G46" s="5">
        <f t="shared" si="2"/>
        <v>65000</v>
      </c>
    </row>
    <row r="47" spans="2:7" s="37" customFormat="1" ht="30.75" thickBot="1">
      <c r="B47" s="22">
        <v>5</v>
      </c>
      <c r="C47" s="10" t="s">
        <v>97</v>
      </c>
      <c r="D47" s="56" t="s">
        <v>9</v>
      </c>
      <c r="E47" s="22">
        <v>10</v>
      </c>
      <c r="F47" s="9">
        <v>6500</v>
      </c>
      <c r="G47" s="10">
        <f t="shared" si="2"/>
        <v>65000</v>
      </c>
    </row>
    <row r="48" spans="2:7" s="37" customFormat="1" ht="15.75" thickBot="1">
      <c r="B48" s="57">
        <v>6</v>
      </c>
      <c r="C48" s="5" t="s">
        <v>98</v>
      </c>
      <c r="D48" s="59"/>
      <c r="E48" s="57">
        <v>10</v>
      </c>
      <c r="F48" s="4">
        <v>3400</v>
      </c>
      <c r="G48" s="5">
        <f t="shared" si="2"/>
        <v>34000</v>
      </c>
    </row>
    <row r="49" spans="2:7" s="37" customFormat="1" ht="15.75" thickBot="1">
      <c r="B49" s="22">
        <v>7</v>
      </c>
      <c r="C49" s="20" t="s">
        <v>65</v>
      </c>
      <c r="D49" s="56" t="s">
        <v>66</v>
      </c>
      <c r="E49" s="22">
        <v>10</v>
      </c>
      <c r="F49" s="9">
        <v>5500</v>
      </c>
      <c r="G49" s="10">
        <f t="shared" si="2"/>
        <v>55000</v>
      </c>
    </row>
    <row r="50" spans="2:7" s="37" customFormat="1" ht="15.75" thickBot="1">
      <c r="B50" s="57">
        <v>8</v>
      </c>
      <c r="C50" s="4" t="s">
        <v>67</v>
      </c>
      <c r="D50" s="60" t="s">
        <v>66</v>
      </c>
      <c r="E50" s="77">
        <v>10</v>
      </c>
      <c r="F50" s="2">
        <v>5500</v>
      </c>
      <c r="G50" s="2">
        <f t="shared" si="2"/>
        <v>55000</v>
      </c>
    </row>
    <row r="51" spans="2:7" s="37" customFormat="1" ht="30.75" thickBot="1">
      <c r="B51" s="22">
        <v>9</v>
      </c>
      <c r="C51" s="9" t="s">
        <v>68</v>
      </c>
      <c r="D51" s="23" t="s">
        <v>9</v>
      </c>
      <c r="E51" s="110">
        <v>10</v>
      </c>
      <c r="F51" s="10">
        <v>4100</v>
      </c>
      <c r="G51" s="10">
        <f t="shared" si="2"/>
        <v>41000</v>
      </c>
    </row>
    <row r="52" spans="2:7" s="37" customFormat="1" ht="15.75" thickBot="1">
      <c r="B52" s="57">
        <v>10</v>
      </c>
      <c r="C52" s="4" t="s">
        <v>69</v>
      </c>
      <c r="D52" s="62" t="s">
        <v>9</v>
      </c>
      <c r="E52" s="77">
        <v>10</v>
      </c>
      <c r="F52" s="5">
        <v>4200</v>
      </c>
      <c r="G52" s="5">
        <f t="shared" si="2"/>
        <v>42000</v>
      </c>
    </row>
    <row r="53" spans="2:7" s="37" customFormat="1" ht="30.75" thickBot="1">
      <c r="B53" s="22">
        <v>11</v>
      </c>
      <c r="C53" s="9" t="s">
        <v>70</v>
      </c>
      <c r="D53" s="23" t="s">
        <v>9</v>
      </c>
      <c r="E53" s="110">
        <v>10</v>
      </c>
      <c r="F53" s="10">
        <v>5900</v>
      </c>
      <c r="G53" s="10">
        <f t="shared" si="2"/>
        <v>59000</v>
      </c>
    </row>
    <row r="54" spans="2:7" s="37" customFormat="1" ht="15.75" thickBot="1">
      <c r="B54" s="72">
        <v>12</v>
      </c>
      <c r="C54" s="45" t="s">
        <v>71</v>
      </c>
      <c r="D54" s="23" t="s">
        <v>72</v>
      </c>
      <c r="E54" s="113">
        <v>10</v>
      </c>
      <c r="F54" s="18">
        <v>980</v>
      </c>
      <c r="G54" s="18">
        <f t="shared" si="2"/>
        <v>9800</v>
      </c>
    </row>
    <row r="55" spans="2:7" s="37" customFormat="1" ht="30.75" thickBot="1">
      <c r="B55" s="63">
        <v>13</v>
      </c>
      <c r="C55" s="32" t="s">
        <v>73</v>
      </c>
      <c r="D55" s="60" t="s">
        <v>9</v>
      </c>
      <c r="E55" s="75">
        <v>10</v>
      </c>
      <c r="F55" s="2">
        <v>4700</v>
      </c>
      <c r="G55" s="2">
        <f t="shared" si="2"/>
        <v>47000</v>
      </c>
    </row>
    <row r="56" spans="2:7" s="37" customFormat="1" ht="15.75" thickBot="1">
      <c r="B56" s="22">
        <v>14</v>
      </c>
      <c r="C56" s="9" t="s">
        <v>75</v>
      </c>
      <c r="D56" s="23" t="s">
        <v>9</v>
      </c>
      <c r="E56" s="110">
        <v>10</v>
      </c>
      <c r="F56" s="10">
        <v>4900</v>
      </c>
      <c r="G56" s="10">
        <f t="shared" si="2"/>
        <v>49000</v>
      </c>
    </row>
    <row r="57" spans="2:7" s="37" customFormat="1" ht="15.75" thickBot="1">
      <c r="B57" s="57">
        <v>15</v>
      </c>
      <c r="C57" s="4" t="s">
        <v>76</v>
      </c>
      <c r="D57" s="62" t="s">
        <v>77</v>
      </c>
      <c r="E57" s="77">
        <v>10</v>
      </c>
      <c r="F57" s="5">
        <v>8600</v>
      </c>
      <c r="G57" s="5">
        <f t="shared" si="2"/>
        <v>86000</v>
      </c>
    </row>
    <row r="58" spans="2:7" s="37" customFormat="1" ht="30.75" thickBot="1">
      <c r="B58" s="22">
        <v>16</v>
      </c>
      <c r="C58" s="9" t="s">
        <v>78</v>
      </c>
      <c r="D58" s="23" t="s">
        <v>9</v>
      </c>
      <c r="E58" s="110">
        <v>10</v>
      </c>
      <c r="F58" s="10">
        <v>5400</v>
      </c>
      <c r="G58" s="10">
        <f t="shared" si="2"/>
        <v>54000</v>
      </c>
    </row>
    <row r="59" spans="2:7" s="37" customFormat="1" ht="30.75" thickBot="1">
      <c r="B59" s="63">
        <v>17</v>
      </c>
      <c r="C59" s="64" t="s">
        <v>79</v>
      </c>
      <c r="D59" s="60" t="s">
        <v>9</v>
      </c>
      <c r="E59" s="114">
        <v>10</v>
      </c>
      <c r="F59" s="2">
        <v>5400</v>
      </c>
      <c r="G59" s="58">
        <f t="shared" si="2"/>
        <v>54000</v>
      </c>
    </row>
    <row r="60" spans="2:7" s="37" customFormat="1" ht="30.75" thickBot="1">
      <c r="B60" s="22">
        <v>18</v>
      </c>
      <c r="C60" s="9" t="s">
        <v>80</v>
      </c>
      <c r="D60" s="23" t="s">
        <v>9</v>
      </c>
      <c r="E60" s="110">
        <v>10</v>
      </c>
      <c r="F60" s="10">
        <v>5400</v>
      </c>
      <c r="G60" s="20">
        <f t="shared" si="2"/>
        <v>54000</v>
      </c>
    </row>
    <row r="61" spans="2:7" s="37" customFormat="1" ht="30.75" thickBot="1">
      <c r="B61" s="57">
        <v>19</v>
      </c>
      <c r="C61" s="4" t="s">
        <v>81</v>
      </c>
      <c r="D61" s="62" t="s">
        <v>9</v>
      </c>
      <c r="E61" s="77">
        <v>10</v>
      </c>
      <c r="F61" s="5">
        <v>5400</v>
      </c>
      <c r="G61" s="115">
        <f t="shared" si="2"/>
        <v>54000</v>
      </c>
    </row>
    <row r="62" spans="2:7" s="37" customFormat="1" ht="15.75" thickBot="1">
      <c r="B62" s="22">
        <v>20</v>
      </c>
      <c r="C62" s="9" t="s">
        <v>82</v>
      </c>
      <c r="D62" s="23" t="s">
        <v>9</v>
      </c>
      <c r="E62" s="22">
        <v>10</v>
      </c>
      <c r="F62" s="20">
        <v>6900</v>
      </c>
      <c r="G62" s="20">
        <f t="shared" si="2"/>
        <v>69000</v>
      </c>
    </row>
    <row r="63" spans="2:7" s="37" customFormat="1" ht="15.75" thickBot="1">
      <c r="B63" s="57">
        <v>21</v>
      </c>
      <c r="C63" s="4" t="s">
        <v>83</v>
      </c>
      <c r="D63" s="62" t="s">
        <v>9</v>
      </c>
      <c r="E63" s="57">
        <v>10</v>
      </c>
      <c r="F63" s="58">
        <v>8600</v>
      </c>
      <c r="G63" s="58">
        <f t="shared" si="2"/>
        <v>86000</v>
      </c>
    </row>
    <row r="64" spans="2:7" s="37" customFormat="1" ht="15.75" thickBot="1">
      <c r="B64" s="22">
        <v>22</v>
      </c>
      <c r="C64" s="9" t="s">
        <v>84</v>
      </c>
      <c r="D64" s="23" t="s">
        <v>9</v>
      </c>
      <c r="E64" s="22">
        <v>10</v>
      </c>
      <c r="F64" s="20">
        <v>4500</v>
      </c>
      <c r="G64" s="20">
        <f t="shared" si="2"/>
        <v>45000</v>
      </c>
    </row>
    <row r="65" spans="2:7" s="37" customFormat="1" ht="15.75" thickBot="1">
      <c r="B65" s="57">
        <v>23</v>
      </c>
      <c r="C65" s="4" t="s">
        <v>85</v>
      </c>
      <c r="D65" s="62" t="s">
        <v>9</v>
      </c>
      <c r="E65" s="57">
        <v>10</v>
      </c>
      <c r="F65" s="58">
        <v>45000</v>
      </c>
      <c r="G65" s="58">
        <f t="shared" si="2"/>
        <v>450000</v>
      </c>
    </row>
    <row r="66" spans="2:7" s="37" customFormat="1" ht="30.75" thickBot="1">
      <c r="B66" s="22">
        <v>24</v>
      </c>
      <c r="C66" s="9" t="s">
        <v>99</v>
      </c>
      <c r="D66" s="23" t="s">
        <v>87</v>
      </c>
      <c r="E66" s="22">
        <v>10</v>
      </c>
      <c r="F66" s="20">
        <v>57.8</v>
      </c>
      <c r="G66" s="20">
        <f t="shared" si="2"/>
        <v>578</v>
      </c>
    </row>
    <row r="67" spans="2:7" s="37" customFormat="1" ht="15.75" thickBot="1">
      <c r="B67" s="57">
        <v>25</v>
      </c>
      <c r="C67" s="116" t="s">
        <v>88</v>
      </c>
      <c r="D67" s="62" t="s">
        <v>77</v>
      </c>
      <c r="E67" s="57">
        <v>10</v>
      </c>
      <c r="F67" s="58">
        <v>17650</v>
      </c>
      <c r="G67" s="117">
        <f t="shared" si="2"/>
        <v>176500</v>
      </c>
    </row>
    <row r="68" spans="2:7" s="37" customFormat="1" ht="21" customHeight="1" thickBot="1">
      <c r="B68" s="168" t="s">
        <v>92</v>
      </c>
      <c r="C68" s="169"/>
      <c r="D68" s="169"/>
      <c r="E68" s="169"/>
      <c r="F68" s="170"/>
      <c r="G68" s="117">
        <f>SUM(G43:G67)</f>
        <v>1829878</v>
      </c>
    </row>
    <row r="69" spans="2:7" s="37" customFormat="1" ht="15" thickBot="1">
      <c r="B69" s="118"/>
      <c r="D69" s="104"/>
      <c r="E69" s="104"/>
      <c r="F69" s="119"/>
    </row>
    <row r="70" spans="2:7" s="37" customFormat="1" ht="25.7" customHeight="1" thickBot="1">
      <c r="B70" s="165" t="s">
        <v>100</v>
      </c>
      <c r="C70" s="166"/>
      <c r="D70" s="166"/>
      <c r="E70" s="166"/>
      <c r="F70" s="112"/>
      <c r="G70" s="120"/>
    </row>
    <row r="71" spans="2:7" s="104" customFormat="1" ht="45.75" thickBot="1">
      <c r="B71" s="96" t="s">
        <v>56</v>
      </c>
      <c r="C71" s="121" t="s">
        <v>2</v>
      </c>
      <c r="D71" s="96" t="s">
        <v>3</v>
      </c>
      <c r="E71" s="121" t="s">
        <v>50</v>
      </c>
      <c r="F71" s="96" t="s">
        <v>5</v>
      </c>
      <c r="G71" s="149" t="s">
        <v>57</v>
      </c>
    </row>
    <row r="72" spans="2:7" s="37" customFormat="1" ht="30.75" thickBot="1">
      <c r="B72" s="63">
        <v>1</v>
      </c>
      <c r="C72" s="4" t="s">
        <v>58</v>
      </c>
      <c r="D72" s="62" t="s">
        <v>9</v>
      </c>
      <c r="E72" s="77">
        <v>15</v>
      </c>
      <c r="F72" s="5">
        <v>2500</v>
      </c>
      <c r="G72" s="2">
        <f t="shared" ref="G72:G98" si="3">MMULT(E72,F72)</f>
        <v>37500</v>
      </c>
    </row>
    <row r="73" spans="2:7" s="37" customFormat="1" ht="30.75" thickBot="1">
      <c r="B73" s="22">
        <v>2</v>
      </c>
      <c r="C73" s="9" t="s">
        <v>95</v>
      </c>
      <c r="D73" s="23" t="s">
        <v>9</v>
      </c>
      <c r="E73" s="110">
        <v>15</v>
      </c>
      <c r="F73" s="10">
        <v>7800</v>
      </c>
      <c r="G73" s="10">
        <f t="shared" si="3"/>
        <v>117000</v>
      </c>
    </row>
    <row r="74" spans="2:7" s="37" customFormat="1" ht="30.75" thickBot="1">
      <c r="B74" s="57">
        <v>3</v>
      </c>
      <c r="C74" s="4" t="s">
        <v>101</v>
      </c>
      <c r="D74" s="62" t="s">
        <v>9</v>
      </c>
      <c r="E74" s="77">
        <v>15</v>
      </c>
      <c r="F74" s="5">
        <v>7800</v>
      </c>
      <c r="G74" s="5">
        <f t="shared" si="3"/>
        <v>117000</v>
      </c>
    </row>
    <row r="75" spans="2:7" s="37" customFormat="1" ht="15.75" thickBot="1">
      <c r="B75" s="22">
        <v>4</v>
      </c>
      <c r="C75" s="9" t="s">
        <v>61</v>
      </c>
      <c r="D75" s="23" t="s">
        <v>9</v>
      </c>
      <c r="E75" s="110">
        <v>15</v>
      </c>
      <c r="F75" s="10">
        <v>3400</v>
      </c>
      <c r="G75" s="10">
        <f t="shared" si="3"/>
        <v>51000</v>
      </c>
    </row>
    <row r="76" spans="2:7" s="37" customFormat="1" ht="30.75" thickBot="1">
      <c r="B76" s="72">
        <v>5</v>
      </c>
      <c r="C76" s="17" t="s">
        <v>96</v>
      </c>
      <c r="D76" s="122" t="s">
        <v>9</v>
      </c>
      <c r="E76" s="123">
        <v>15</v>
      </c>
      <c r="F76" s="18">
        <v>7800</v>
      </c>
      <c r="G76" s="18">
        <f t="shared" si="3"/>
        <v>117000</v>
      </c>
    </row>
    <row r="77" spans="2:7" s="37" customFormat="1" ht="30.75" thickBot="1">
      <c r="B77" s="57">
        <v>6</v>
      </c>
      <c r="C77" s="4" t="s">
        <v>97</v>
      </c>
      <c r="D77" s="62" t="s">
        <v>9</v>
      </c>
      <c r="E77" s="77">
        <v>15</v>
      </c>
      <c r="F77" s="5">
        <v>7800</v>
      </c>
      <c r="G77" s="5">
        <f t="shared" si="3"/>
        <v>117000</v>
      </c>
    </row>
    <row r="78" spans="2:7" s="37" customFormat="1" ht="15.75" thickBot="1">
      <c r="B78" s="22">
        <v>7</v>
      </c>
      <c r="C78" s="9" t="s">
        <v>63</v>
      </c>
      <c r="D78" s="23" t="s">
        <v>9</v>
      </c>
      <c r="E78" s="110">
        <v>15</v>
      </c>
      <c r="F78" s="10">
        <v>3400</v>
      </c>
      <c r="G78" s="10">
        <f t="shared" si="3"/>
        <v>51000</v>
      </c>
    </row>
    <row r="79" spans="2:7" s="37" customFormat="1" ht="15.75" thickBot="1">
      <c r="B79" s="124">
        <v>8</v>
      </c>
      <c r="C79" s="2" t="s">
        <v>74</v>
      </c>
      <c r="D79" s="62" t="s">
        <v>9</v>
      </c>
      <c r="E79" s="77">
        <v>15</v>
      </c>
      <c r="F79" s="5">
        <v>4500</v>
      </c>
      <c r="G79" s="5">
        <f t="shared" si="3"/>
        <v>67500</v>
      </c>
    </row>
    <row r="80" spans="2:7" s="37" customFormat="1" ht="30.75" thickBot="1">
      <c r="B80" s="66">
        <v>9</v>
      </c>
      <c r="C80" s="10" t="s">
        <v>102</v>
      </c>
      <c r="D80" s="76" t="s">
        <v>66</v>
      </c>
      <c r="E80" s="110">
        <v>15</v>
      </c>
      <c r="F80" s="10">
        <v>8900</v>
      </c>
      <c r="G80" s="10">
        <f t="shared" si="3"/>
        <v>133500</v>
      </c>
    </row>
    <row r="81" spans="2:7" s="37" customFormat="1" ht="15.75" thickBot="1">
      <c r="B81" s="124">
        <v>10</v>
      </c>
      <c r="C81" s="5" t="s">
        <v>67</v>
      </c>
      <c r="D81" s="125" t="s">
        <v>66</v>
      </c>
      <c r="E81" s="73">
        <v>15</v>
      </c>
      <c r="F81" s="4">
        <v>8900</v>
      </c>
      <c r="G81" s="2">
        <f t="shared" si="3"/>
        <v>133500</v>
      </c>
    </row>
    <row r="82" spans="2:7" s="37" customFormat="1" ht="30" customHeight="1" thickBot="1">
      <c r="B82" s="66">
        <v>11</v>
      </c>
      <c r="C82" s="10" t="s">
        <v>68</v>
      </c>
      <c r="D82" s="76" t="s">
        <v>9</v>
      </c>
      <c r="E82" s="113">
        <v>15</v>
      </c>
      <c r="F82" s="9">
        <v>5400</v>
      </c>
      <c r="G82" s="10">
        <f t="shared" si="3"/>
        <v>81000</v>
      </c>
    </row>
    <row r="83" spans="2:7" s="37" customFormat="1" ht="15.75" thickBot="1">
      <c r="B83" s="63">
        <v>12</v>
      </c>
      <c r="C83" s="4" t="s">
        <v>69</v>
      </c>
      <c r="D83" s="60" t="s">
        <v>9</v>
      </c>
      <c r="E83" s="77">
        <v>15</v>
      </c>
      <c r="F83" s="2">
        <v>4500</v>
      </c>
      <c r="G83" s="2">
        <f t="shared" si="3"/>
        <v>67500</v>
      </c>
    </row>
    <row r="84" spans="2:7" s="37" customFormat="1" ht="30.75" thickBot="1">
      <c r="B84" s="22">
        <v>13</v>
      </c>
      <c r="C84" s="9" t="s">
        <v>70</v>
      </c>
      <c r="D84" s="23" t="s">
        <v>9</v>
      </c>
      <c r="E84" s="110">
        <v>15</v>
      </c>
      <c r="F84" s="10">
        <v>6500</v>
      </c>
      <c r="G84" s="10">
        <f t="shared" si="3"/>
        <v>97500</v>
      </c>
    </row>
    <row r="85" spans="2:7" s="37" customFormat="1" ht="15.75" thickBot="1">
      <c r="B85" s="57">
        <v>14</v>
      </c>
      <c r="C85" s="4" t="s">
        <v>71</v>
      </c>
      <c r="D85" s="62" t="s">
        <v>72</v>
      </c>
      <c r="E85" s="77">
        <v>15</v>
      </c>
      <c r="F85" s="5">
        <v>980</v>
      </c>
      <c r="G85" s="5">
        <f t="shared" si="3"/>
        <v>14700</v>
      </c>
    </row>
    <row r="86" spans="2:7" s="37" customFormat="1" ht="30.75" thickBot="1">
      <c r="B86" s="22">
        <v>15</v>
      </c>
      <c r="C86" s="9" t="s">
        <v>73</v>
      </c>
      <c r="D86" s="23" t="s">
        <v>9</v>
      </c>
      <c r="E86" s="110">
        <v>15</v>
      </c>
      <c r="F86" s="10">
        <v>5400</v>
      </c>
      <c r="G86" s="10">
        <f t="shared" si="3"/>
        <v>81000</v>
      </c>
    </row>
    <row r="87" spans="2:7" s="37" customFormat="1" ht="15.75" thickBot="1">
      <c r="B87" s="57">
        <v>16</v>
      </c>
      <c r="C87" s="4" t="s">
        <v>75</v>
      </c>
      <c r="D87" s="62" t="s">
        <v>9</v>
      </c>
      <c r="E87" s="77">
        <v>15</v>
      </c>
      <c r="F87" s="5">
        <v>7600</v>
      </c>
      <c r="G87" s="5">
        <f t="shared" si="3"/>
        <v>114000</v>
      </c>
    </row>
    <row r="88" spans="2:7" s="37" customFormat="1" ht="19.350000000000001" customHeight="1" thickBot="1">
      <c r="B88" s="22">
        <v>17</v>
      </c>
      <c r="C88" s="9" t="s">
        <v>76</v>
      </c>
      <c r="D88" s="23" t="s">
        <v>77</v>
      </c>
      <c r="E88" s="110">
        <v>15</v>
      </c>
      <c r="F88" s="10">
        <v>9800</v>
      </c>
      <c r="G88" s="10">
        <f t="shared" si="3"/>
        <v>147000</v>
      </c>
    </row>
    <row r="89" spans="2:7" s="37" customFormat="1" ht="30.75" thickBot="1">
      <c r="B89" s="57">
        <v>18</v>
      </c>
      <c r="C89" s="4" t="s">
        <v>78</v>
      </c>
      <c r="D89" s="62" t="s">
        <v>9</v>
      </c>
      <c r="E89" s="77">
        <v>15</v>
      </c>
      <c r="F89" s="5">
        <v>5500</v>
      </c>
      <c r="G89" s="5">
        <f t="shared" si="3"/>
        <v>82500</v>
      </c>
    </row>
    <row r="90" spans="2:7" s="37" customFormat="1" ht="30.75" thickBot="1">
      <c r="B90" s="22">
        <v>19</v>
      </c>
      <c r="C90" s="9" t="s">
        <v>79</v>
      </c>
      <c r="D90" s="23" t="s">
        <v>9</v>
      </c>
      <c r="E90" s="110">
        <v>15</v>
      </c>
      <c r="F90" s="10">
        <v>5500</v>
      </c>
      <c r="G90" s="10">
        <f t="shared" si="3"/>
        <v>82500</v>
      </c>
    </row>
    <row r="91" spans="2:7" s="37" customFormat="1" ht="30.75" thickBot="1">
      <c r="B91" s="57">
        <v>20</v>
      </c>
      <c r="C91" s="4" t="s">
        <v>80</v>
      </c>
      <c r="D91" s="62" t="s">
        <v>9</v>
      </c>
      <c r="E91" s="77">
        <v>15</v>
      </c>
      <c r="F91" s="5">
        <v>5500</v>
      </c>
      <c r="G91" s="5">
        <f t="shared" si="3"/>
        <v>82500</v>
      </c>
    </row>
    <row r="92" spans="2:7" s="37" customFormat="1" ht="30.75" thickBot="1">
      <c r="B92" s="22">
        <v>21</v>
      </c>
      <c r="C92" s="9" t="s">
        <v>81</v>
      </c>
      <c r="D92" s="23" t="s">
        <v>9</v>
      </c>
      <c r="E92" s="110">
        <v>15</v>
      </c>
      <c r="F92" s="10">
        <v>5500</v>
      </c>
      <c r="G92" s="10">
        <f t="shared" si="3"/>
        <v>82500</v>
      </c>
    </row>
    <row r="93" spans="2:7" s="37" customFormat="1" ht="18.600000000000001" customHeight="1" thickBot="1">
      <c r="B93" s="63">
        <v>22</v>
      </c>
      <c r="C93" s="4" t="s">
        <v>82</v>
      </c>
      <c r="D93" s="60" t="s">
        <v>9</v>
      </c>
      <c r="E93" s="77">
        <v>15</v>
      </c>
      <c r="F93" s="2">
        <v>8700</v>
      </c>
      <c r="G93" s="2">
        <f t="shared" si="3"/>
        <v>130500</v>
      </c>
    </row>
    <row r="94" spans="2:7" s="37" customFormat="1" ht="20.45" customHeight="1" thickBot="1">
      <c r="B94" s="22">
        <v>23</v>
      </c>
      <c r="C94" s="45" t="s">
        <v>83</v>
      </c>
      <c r="D94" s="23" t="s">
        <v>9</v>
      </c>
      <c r="E94" s="110">
        <v>15</v>
      </c>
      <c r="F94" s="10">
        <v>8700</v>
      </c>
      <c r="G94" s="10">
        <f t="shared" si="3"/>
        <v>130500</v>
      </c>
    </row>
    <row r="95" spans="2:7" s="37" customFormat="1" ht="20.45" customHeight="1" thickBot="1">
      <c r="B95" s="72">
        <v>24</v>
      </c>
      <c r="C95" s="126" t="s">
        <v>84</v>
      </c>
      <c r="D95" s="122" t="s">
        <v>9</v>
      </c>
      <c r="E95" s="123">
        <v>15</v>
      </c>
      <c r="F95" s="18">
        <v>5400</v>
      </c>
      <c r="G95" s="18">
        <f t="shared" si="3"/>
        <v>81000</v>
      </c>
    </row>
    <row r="96" spans="2:7" s="37" customFormat="1" ht="15.75" thickBot="1">
      <c r="B96" s="63">
        <v>25</v>
      </c>
      <c r="C96" s="2" t="s">
        <v>85</v>
      </c>
      <c r="D96" s="68" t="s">
        <v>9</v>
      </c>
      <c r="E96" s="63">
        <v>15</v>
      </c>
      <c r="F96" s="37">
        <v>45000</v>
      </c>
      <c r="G96" s="127">
        <f t="shared" si="3"/>
        <v>675000</v>
      </c>
    </row>
    <row r="97" spans="2:7" s="37" customFormat="1" ht="30.75" thickBot="1">
      <c r="B97" s="22">
        <v>26</v>
      </c>
      <c r="C97" s="10" t="s">
        <v>86</v>
      </c>
      <c r="D97" s="56" t="s">
        <v>87</v>
      </c>
      <c r="E97" s="22">
        <v>15</v>
      </c>
      <c r="F97" s="119">
        <v>53.79</v>
      </c>
      <c r="G97" s="128">
        <f t="shared" si="3"/>
        <v>806.85</v>
      </c>
    </row>
    <row r="98" spans="2:7" s="37" customFormat="1" ht="15.75" thickBot="1">
      <c r="B98" s="72">
        <v>27</v>
      </c>
      <c r="C98" s="18" t="s">
        <v>88</v>
      </c>
      <c r="D98" s="59" t="s">
        <v>77</v>
      </c>
      <c r="E98" s="22">
        <v>15</v>
      </c>
      <c r="F98" s="37">
        <v>18650</v>
      </c>
      <c r="G98" s="129">
        <f t="shared" si="3"/>
        <v>279750</v>
      </c>
    </row>
    <row r="99" spans="2:7" s="37" customFormat="1" ht="22.7" customHeight="1" thickBot="1">
      <c r="B99" s="168" t="s">
        <v>92</v>
      </c>
      <c r="C99" s="169"/>
      <c r="D99" s="169"/>
      <c r="E99" s="169"/>
      <c r="F99" s="170"/>
      <c r="G99" s="128">
        <f>SUM(G72:G98)</f>
        <v>3172256.85</v>
      </c>
    </row>
    <row r="100" spans="2:7" s="37" customFormat="1" ht="15" thickBot="1">
      <c r="B100" s="104"/>
      <c r="D100" s="104"/>
      <c r="E100" s="104"/>
    </row>
    <row r="101" spans="2:7" s="37" customFormat="1" ht="23.45" customHeight="1" thickBot="1">
      <c r="B101" s="165" t="s">
        <v>103</v>
      </c>
      <c r="C101" s="166"/>
      <c r="D101" s="166"/>
      <c r="E101" s="166"/>
      <c r="F101" s="167"/>
      <c r="G101" s="130"/>
    </row>
    <row r="102" spans="2:7" s="37" customFormat="1" ht="45.75" thickBot="1">
      <c r="B102" s="102" t="s">
        <v>56</v>
      </c>
      <c r="C102" s="108" t="s">
        <v>2</v>
      </c>
      <c r="D102" s="102" t="s">
        <v>3</v>
      </c>
      <c r="E102" s="103" t="s">
        <v>50</v>
      </c>
      <c r="F102" s="107" t="s">
        <v>5</v>
      </c>
      <c r="G102" s="107" t="s">
        <v>104</v>
      </c>
    </row>
    <row r="103" spans="2:7" s="37" customFormat="1" ht="30.75" thickBot="1">
      <c r="B103" s="22">
        <v>1</v>
      </c>
      <c r="C103" s="95" t="s">
        <v>58</v>
      </c>
      <c r="D103" s="23" t="s">
        <v>9</v>
      </c>
      <c r="E103" s="110">
        <v>10</v>
      </c>
      <c r="F103" s="81">
        <v>4900</v>
      </c>
      <c r="G103" s="81">
        <f t="shared" ref="G103:G131" si="4">MMULT(E103,F103)</f>
        <v>49000</v>
      </c>
    </row>
    <row r="104" spans="2:7" s="37" customFormat="1" ht="30.75" thickBot="1">
      <c r="B104" s="57">
        <v>2</v>
      </c>
      <c r="C104" s="94" t="s">
        <v>95</v>
      </c>
      <c r="D104" s="62" t="s">
        <v>9</v>
      </c>
      <c r="E104" s="77">
        <v>10</v>
      </c>
      <c r="F104" s="82">
        <v>7900</v>
      </c>
      <c r="G104" s="82">
        <f t="shared" si="4"/>
        <v>79000</v>
      </c>
    </row>
    <row r="105" spans="2:7" s="37" customFormat="1" ht="30.75" thickBot="1">
      <c r="B105" s="22">
        <v>3</v>
      </c>
      <c r="C105" s="95" t="s">
        <v>101</v>
      </c>
      <c r="D105" s="23" t="s">
        <v>9</v>
      </c>
      <c r="E105" s="110">
        <v>10</v>
      </c>
      <c r="F105" s="81">
        <v>7900</v>
      </c>
      <c r="G105" s="81">
        <f t="shared" si="4"/>
        <v>79000</v>
      </c>
    </row>
    <row r="106" spans="2:7" s="37" customFormat="1" ht="22.35" customHeight="1" thickBot="1">
      <c r="B106" s="72">
        <v>4</v>
      </c>
      <c r="C106" s="109" t="s">
        <v>61</v>
      </c>
      <c r="D106" s="122" t="s">
        <v>9</v>
      </c>
      <c r="E106" s="123">
        <v>10</v>
      </c>
      <c r="F106" s="131">
        <v>4500</v>
      </c>
      <c r="G106" s="131">
        <f t="shared" si="4"/>
        <v>45000</v>
      </c>
    </row>
    <row r="107" spans="2:7" s="37" customFormat="1" ht="30.75" thickBot="1">
      <c r="B107" s="57">
        <v>5</v>
      </c>
      <c r="C107" s="94" t="s">
        <v>96</v>
      </c>
      <c r="D107" s="62" t="s">
        <v>9</v>
      </c>
      <c r="E107" s="77">
        <v>10</v>
      </c>
      <c r="F107" s="82">
        <v>7900</v>
      </c>
      <c r="G107" s="82">
        <f t="shared" si="4"/>
        <v>79000</v>
      </c>
    </row>
    <row r="108" spans="2:7" s="37" customFormat="1" ht="30.75" thickBot="1">
      <c r="B108" s="22">
        <v>6</v>
      </c>
      <c r="C108" s="95" t="s">
        <v>97</v>
      </c>
      <c r="D108" s="23" t="s">
        <v>9</v>
      </c>
      <c r="E108" s="110">
        <v>10</v>
      </c>
      <c r="F108" s="81">
        <v>7900</v>
      </c>
      <c r="G108" s="81">
        <f t="shared" si="4"/>
        <v>79000</v>
      </c>
    </row>
    <row r="109" spans="2:7" s="37" customFormat="1" ht="15.75" thickBot="1">
      <c r="B109" s="132">
        <v>7</v>
      </c>
      <c r="C109" s="133" t="s">
        <v>63</v>
      </c>
      <c r="D109" s="134" t="s">
        <v>9</v>
      </c>
      <c r="E109" s="135">
        <v>10</v>
      </c>
      <c r="F109" s="80">
        <v>3400</v>
      </c>
      <c r="G109" s="80">
        <f t="shared" si="4"/>
        <v>34000</v>
      </c>
    </row>
    <row r="110" spans="2:7" s="37" customFormat="1" ht="15.75" thickBot="1">
      <c r="B110" s="136">
        <v>8</v>
      </c>
      <c r="C110" s="137" t="s">
        <v>74</v>
      </c>
      <c r="D110" s="138" t="s">
        <v>9</v>
      </c>
      <c r="E110" s="139">
        <v>10</v>
      </c>
      <c r="F110" s="81">
        <v>4500</v>
      </c>
      <c r="G110" s="81">
        <f t="shared" si="4"/>
        <v>45000</v>
      </c>
    </row>
    <row r="111" spans="2:7" s="37" customFormat="1" ht="30.75" thickBot="1">
      <c r="B111" s="140">
        <v>9</v>
      </c>
      <c r="C111" s="141" t="s">
        <v>105</v>
      </c>
      <c r="D111" s="142" t="s">
        <v>9</v>
      </c>
      <c r="E111" s="143">
        <v>10</v>
      </c>
      <c r="F111" s="82">
        <v>7900</v>
      </c>
      <c r="G111" s="82">
        <f t="shared" si="4"/>
        <v>79000</v>
      </c>
    </row>
    <row r="112" spans="2:7" s="37" customFormat="1" ht="30.75" thickBot="1">
      <c r="B112" s="136">
        <v>10</v>
      </c>
      <c r="C112" s="137" t="s">
        <v>106</v>
      </c>
      <c r="D112" s="138" t="s">
        <v>9</v>
      </c>
      <c r="E112" s="139">
        <v>10</v>
      </c>
      <c r="F112" s="81">
        <v>7900</v>
      </c>
      <c r="G112" s="81">
        <f t="shared" si="4"/>
        <v>79000</v>
      </c>
    </row>
    <row r="113" spans="2:7" s="37" customFormat="1" ht="15.75" thickBot="1">
      <c r="B113" s="140">
        <v>11</v>
      </c>
      <c r="C113" s="141" t="s">
        <v>65</v>
      </c>
      <c r="D113" s="142" t="s">
        <v>66</v>
      </c>
      <c r="E113" s="143">
        <v>10</v>
      </c>
      <c r="F113" s="82">
        <v>9800</v>
      </c>
      <c r="G113" s="82">
        <f t="shared" si="4"/>
        <v>98000</v>
      </c>
    </row>
    <row r="114" spans="2:7" s="37" customFormat="1" ht="15.75" thickBot="1">
      <c r="B114" s="136">
        <v>12</v>
      </c>
      <c r="C114" s="137" t="s">
        <v>67</v>
      </c>
      <c r="D114" s="138" t="s">
        <v>66</v>
      </c>
      <c r="E114" s="139">
        <v>10</v>
      </c>
      <c r="F114" s="81">
        <v>9800</v>
      </c>
      <c r="G114" s="81">
        <f t="shared" si="4"/>
        <v>98000</v>
      </c>
    </row>
    <row r="115" spans="2:7" s="37" customFormat="1" ht="30.75" thickBot="1">
      <c r="B115" s="140">
        <v>13</v>
      </c>
      <c r="C115" s="141" t="s">
        <v>68</v>
      </c>
      <c r="D115" s="142" t="s">
        <v>9</v>
      </c>
      <c r="E115" s="143">
        <v>10</v>
      </c>
      <c r="F115" s="82">
        <v>6500</v>
      </c>
      <c r="G115" s="82">
        <f t="shared" si="4"/>
        <v>65000</v>
      </c>
    </row>
    <row r="116" spans="2:7" s="37" customFormat="1" ht="15.75" thickBot="1">
      <c r="B116" s="136">
        <v>14</v>
      </c>
      <c r="C116" s="137" t="s">
        <v>69</v>
      </c>
      <c r="D116" s="138" t="s">
        <v>9</v>
      </c>
      <c r="E116" s="139">
        <v>10</v>
      </c>
      <c r="F116" s="81">
        <v>4500</v>
      </c>
      <c r="G116" s="81">
        <f t="shared" si="4"/>
        <v>45000</v>
      </c>
    </row>
    <row r="117" spans="2:7" s="37" customFormat="1" ht="30.75" thickBot="1">
      <c r="B117" s="136">
        <v>15</v>
      </c>
      <c r="C117" s="137" t="s">
        <v>70</v>
      </c>
      <c r="D117" s="138" t="s">
        <v>9</v>
      </c>
      <c r="E117" s="139">
        <v>10</v>
      </c>
      <c r="F117" s="81">
        <v>7600</v>
      </c>
      <c r="G117" s="81">
        <f t="shared" si="4"/>
        <v>76000</v>
      </c>
    </row>
    <row r="118" spans="2:7" s="37" customFormat="1" ht="15.75" thickBot="1">
      <c r="B118" s="140">
        <v>16</v>
      </c>
      <c r="C118" s="141" t="s">
        <v>71</v>
      </c>
      <c r="D118" s="142" t="s">
        <v>72</v>
      </c>
      <c r="E118" s="143">
        <v>10</v>
      </c>
      <c r="F118" s="82">
        <v>980</v>
      </c>
      <c r="G118" s="82">
        <f t="shared" si="4"/>
        <v>9800</v>
      </c>
    </row>
    <row r="119" spans="2:7" s="37" customFormat="1" ht="30.75" thickBot="1">
      <c r="B119" s="136">
        <v>17</v>
      </c>
      <c r="C119" s="137" t="s">
        <v>73</v>
      </c>
      <c r="D119" s="138" t="s">
        <v>9</v>
      </c>
      <c r="E119" s="139">
        <v>10</v>
      </c>
      <c r="F119" s="81">
        <v>4500</v>
      </c>
      <c r="G119" s="81">
        <f t="shared" si="4"/>
        <v>45000</v>
      </c>
    </row>
    <row r="120" spans="2:7" s="37" customFormat="1" ht="15.75" thickBot="1">
      <c r="B120" s="136">
        <v>18</v>
      </c>
      <c r="C120" s="137" t="s">
        <v>75</v>
      </c>
      <c r="D120" s="138" t="s">
        <v>9</v>
      </c>
      <c r="E120" s="139">
        <v>10</v>
      </c>
      <c r="F120" s="81">
        <v>9800</v>
      </c>
      <c r="G120" s="81">
        <f t="shared" si="4"/>
        <v>98000</v>
      </c>
    </row>
    <row r="121" spans="2:7" s="37" customFormat="1" ht="15.75" thickBot="1">
      <c r="B121" s="140">
        <v>19</v>
      </c>
      <c r="C121" s="141" t="s">
        <v>76</v>
      </c>
      <c r="D121" s="142" t="s">
        <v>77</v>
      </c>
      <c r="E121" s="143">
        <v>10</v>
      </c>
      <c r="F121" s="82">
        <v>9800</v>
      </c>
      <c r="G121" s="82">
        <f t="shared" si="4"/>
        <v>98000</v>
      </c>
    </row>
    <row r="122" spans="2:7" s="37" customFormat="1" ht="30.75" thickBot="1">
      <c r="B122" s="136">
        <v>20</v>
      </c>
      <c r="C122" s="137" t="s">
        <v>78</v>
      </c>
      <c r="D122" s="138" t="s">
        <v>9</v>
      </c>
      <c r="E122" s="139">
        <v>10</v>
      </c>
      <c r="F122" s="81">
        <v>5500</v>
      </c>
      <c r="G122" s="81">
        <f t="shared" si="4"/>
        <v>55000</v>
      </c>
    </row>
    <row r="123" spans="2:7" s="37" customFormat="1" ht="30.75" thickBot="1">
      <c r="B123" s="136">
        <v>21</v>
      </c>
      <c r="C123" s="144" t="s">
        <v>79</v>
      </c>
      <c r="D123" s="138" t="s">
        <v>9</v>
      </c>
      <c r="E123" s="145">
        <v>10</v>
      </c>
      <c r="F123" s="81">
        <v>5500</v>
      </c>
      <c r="G123" s="146">
        <f t="shared" si="4"/>
        <v>55000</v>
      </c>
    </row>
    <row r="124" spans="2:7" s="37" customFormat="1" ht="30.75" thickBot="1">
      <c r="B124" s="132">
        <v>22</v>
      </c>
      <c r="C124" s="147" t="s">
        <v>80</v>
      </c>
      <c r="D124" s="134" t="s">
        <v>9</v>
      </c>
      <c r="E124" s="148">
        <v>10</v>
      </c>
      <c r="F124" s="80">
        <v>5500</v>
      </c>
      <c r="G124" s="80">
        <f t="shared" si="4"/>
        <v>55000</v>
      </c>
    </row>
    <row r="125" spans="2:7" s="37" customFormat="1" ht="30.75" thickBot="1">
      <c r="B125" s="136">
        <v>23</v>
      </c>
      <c r="C125" s="137" t="s">
        <v>81</v>
      </c>
      <c r="D125" s="138" t="s">
        <v>9</v>
      </c>
      <c r="E125" s="139">
        <v>10</v>
      </c>
      <c r="F125" s="81">
        <v>5500</v>
      </c>
      <c r="G125" s="81">
        <f t="shared" si="4"/>
        <v>55000</v>
      </c>
    </row>
    <row r="126" spans="2:7" s="37" customFormat="1" ht="15.75" thickBot="1">
      <c r="B126" s="140">
        <v>24</v>
      </c>
      <c r="C126" s="141" t="s">
        <v>82</v>
      </c>
      <c r="D126" s="142" t="s">
        <v>9</v>
      </c>
      <c r="E126" s="143">
        <v>10</v>
      </c>
      <c r="F126" s="82">
        <v>7600</v>
      </c>
      <c r="G126" s="82">
        <f t="shared" si="4"/>
        <v>76000</v>
      </c>
    </row>
    <row r="127" spans="2:7" s="37" customFormat="1" ht="15.75" thickBot="1">
      <c r="B127" s="136">
        <v>25</v>
      </c>
      <c r="C127" s="137" t="s">
        <v>83</v>
      </c>
      <c r="D127" s="138" t="s">
        <v>9</v>
      </c>
      <c r="E127" s="139">
        <v>10</v>
      </c>
      <c r="F127" s="81">
        <v>7900</v>
      </c>
      <c r="G127" s="81">
        <f t="shared" si="4"/>
        <v>79000</v>
      </c>
    </row>
    <row r="128" spans="2:7" s="37" customFormat="1" ht="15.75" thickBot="1">
      <c r="B128" s="140">
        <v>26</v>
      </c>
      <c r="C128" s="141" t="s">
        <v>84</v>
      </c>
      <c r="D128" s="142" t="s">
        <v>9</v>
      </c>
      <c r="E128" s="143">
        <v>10</v>
      </c>
      <c r="F128" s="82">
        <v>4500</v>
      </c>
      <c r="G128" s="82">
        <f t="shared" si="4"/>
        <v>45000</v>
      </c>
    </row>
    <row r="129" spans="2:7" s="37" customFormat="1" ht="15.75" thickBot="1">
      <c r="B129" s="136">
        <v>27</v>
      </c>
      <c r="C129" s="137" t="s">
        <v>85</v>
      </c>
      <c r="D129" s="138" t="s">
        <v>9</v>
      </c>
      <c r="E129" s="139">
        <v>10</v>
      </c>
      <c r="F129" s="81">
        <v>56000</v>
      </c>
      <c r="G129" s="81">
        <f t="shared" si="4"/>
        <v>560000</v>
      </c>
    </row>
    <row r="130" spans="2:7" s="37" customFormat="1" ht="15.75" thickBot="1">
      <c r="B130" s="140">
        <v>28</v>
      </c>
      <c r="C130" s="141" t="s">
        <v>107</v>
      </c>
      <c r="D130" s="142" t="s">
        <v>87</v>
      </c>
      <c r="E130" s="143">
        <v>10</v>
      </c>
      <c r="F130" s="82">
        <v>6.8</v>
      </c>
      <c r="G130" s="82">
        <f t="shared" si="4"/>
        <v>68</v>
      </c>
    </row>
    <row r="131" spans="2:7" s="37" customFormat="1" ht="15.75" thickBot="1">
      <c r="B131" s="136">
        <v>29</v>
      </c>
      <c r="C131" s="137" t="s">
        <v>88</v>
      </c>
      <c r="D131" s="138" t="s">
        <v>77</v>
      </c>
      <c r="E131" s="139">
        <v>10</v>
      </c>
      <c r="F131" s="81">
        <v>19860</v>
      </c>
      <c r="G131" s="81">
        <f t="shared" si="4"/>
        <v>198600</v>
      </c>
    </row>
    <row r="132" spans="2:7" s="37" customFormat="1" ht="27" customHeight="1" thickBot="1">
      <c r="B132" s="172" t="s">
        <v>92</v>
      </c>
      <c r="C132" s="173"/>
      <c r="D132" s="173"/>
      <c r="E132" s="173"/>
      <c r="F132" s="174"/>
      <c r="G132" s="131">
        <f>SUM(G103:G131)</f>
        <v>2458468</v>
      </c>
    </row>
    <row r="133" spans="2:7" s="37" customFormat="1">
      <c r="B133" s="104"/>
      <c r="D133" s="104"/>
      <c r="E133" s="104"/>
    </row>
    <row r="134" spans="2:7" s="37" customFormat="1">
      <c r="B134" s="104"/>
      <c r="D134" s="104"/>
      <c r="E134" s="104"/>
    </row>
    <row r="135" spans="2:7" s="37" customFormat="1">
      <c r="B135" s="104"/>
      <c r="D135" s="104"/>
      <c r="E135" s="104"/>
    </row>
    <row r="136" spans="2:7" s="37" customFormat="1">
      <c r="B136" s="104"/>
      <c r="D136" s="104"/>
      <c r="E136" s="104"/>
    </row>
  </sheetData>
  <mergeCells count="10">
    <mergeCell ref="B99:F99"/>
    <mergeCell ref="B101:F101"/>
    <mergeCell ref="B132:F132"/>
    <mergeCell ref="B68:F68"/>
    <mergeCell ref="B70:E70"/>
    <mergeCell ref="B2:G2"/>
    <mergeCell ref="B4:E4"/>
    <mergeCell ref="B39:F39"/>
    <mergeCell ref="B3:G3"/>
    <mergeCell ref="B41:E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B952-42C8-4461-A541-0AE39181F493}">
  <dimension ref="B2:E7"/>
  <sheetViews>
    <sheetView topLeftCell="A3" workbookViewId="0">
      <selection activeCell="D6" sqref="D6"/>
    </sheetView>
  </sheetViews>
  <sheetFormatPr defaultColWidth="8.875" defaultRowHeight="14.25"/>
  <cols>
    <col min="2" max="2" width="17.875" customWidth="1"/>
    <col min="3" max="3" width="12.5" customWidth="1"/>
    <col min="4" max="4" width="24" customWidth="1"/>
    <col min="5" max="5" width="28.375" customWidth="1"/>
  </cols>
  <sheetData>
    <row r="2" spans="2:5" s="37" customFormat="1" ht="27.6" customHeight="1" thickBot="1">
      <c r="B2" s="175" t="s">
        <v>108</v>
      </c>
      <c r="C2" s="175"/>
      <c r="D2" s="175"/>
      <c r="E2" s="175"/>
    </row>
    <row r="3" spans="2:5" ht="33" customHeight="1" thickBot="1">
      <c r="B3" s="19" t="s">
        <v>109</v>
      </c>
      <c r="C3" s="84" t="s">
        <v>110</v>
      </c>
      <c r="D3" s="19" t="s">
        <v>111</v>
      </c>
      <c r="E3" s="83" t="s">
        <v>112</v>
      </c>
    </row>
    <row r="4" spans="2:5" ht="23.45" customHeight="1" thickBot="1">
      <c r="B4" s="12" t="s">
        <v>113</v>
      </c>
      <c r="C4" s="85">
        <v>60</v>
      </c>
      <c r="D4" s="5">
        <v>25</v>
      </c>
      <c r="E4" s="5">
        <f>MMULT(C4,D4)</f>
        <v>1500</v>
      </c>
    </row>
    <row r="5" spans="2:5" ht="23.45" customHeight="1" thickBot="1">
      <c r="B5" s="7" t="s">
        <v>114</v>
      </c>
      <c r="C5" s="86">
        <v>60</v>
      </c>
      <c r="D5" s="10">
        <v>36</v>
      </c>
      <c r="E5" s="10">
        <f>MMULT(C5,D5)</f>
        <v>2160</v>
      </c>
    </row>
    <row r="6" spans="2:5" ht="24" customHeight="1" thickBot="1">
      <c r="B6" s="15" t="s">
        <v>115</v>
      </c>
      <c r="C6" s="85">
        <v>60</v>
      </c>
      <c r="D6" s="18">
        <v>58</v>
      </c>
      <c r="E6" s="5">
        <f>MMULT(C6,D6)</f>
        <v>3480</v>
      </c>
    </row>
    <row r="7" spans="2:5" ht="24" customHeight="1" thickBot="1">
      <c r="B7" s="160" t="s">
        <v>92</v>
      </c>
      <c r="C7" s="161"/>
      <c r="D7" s="162"/>
      <c r="E7" s="10">
        <f>SUM(E4:E6)</f>
        <v>7140</v>
      </c>
    </row>
  </sheetData>
  <mergeCells count="2">
    <mergeCell ref="B2:E2"/>
    <mergeCell ref="B7:D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66C0-C946-472E-88FD-B91E1698F95D}">
  <dimension ref="B2:C10"/>
  <sheetViews>
    <sheetView workbookViewId="0">
      <selection activeCell="C12" sqref="C12"/>
    </sheetView>
  </sheetViews>
  <sheetFormatPr defaultColWidth="8.875" defaultRowHeight="14.25"/>
  <cols>
    <col min="2" max="2" width="63.375" customWidth="1"/>
    <col min="3" max="3" width="45.5" customWidth="1"/>
  </cols>
  <sheetData>
    <row r="2" spans="2:3" ht="15">
      <c r="B2" s="176" t="s">
        <v>116</v>
      </c>
      <c r="C2" s="176"/>
    </row>
    <row r="3" spans="2:3" ht="15">
      <c r="B3" s="87"/>
      <c r="C3" s="88" t="s">
        <v>117</v>
      </c>
    </row>
    <row r="4" spans="2:3" ht="28.7" customHeight="1">
      <c r="B4" s="1" t="s">
        <v>118</v>
      </c>
      <c r="C4" s="150">
        <v>258</v>
      </c>
    </row>
    <row r="5" spans="2:3" ht="26.45" customHeight="1">
      <c r="B5" s="1" t="s">
        <v>119</v>
      </c>
      <c r="C5" s="150">
        <v>138</v>
      </c>
    </row>
    <row r="6" spans="2:3" ht="27.6" customHeight="1">
      <c r="B6" s="1" t="s">
        <v>120</v>
      </c>
      <c r="C6" s="150">
        <v>22410</v>
      </c>
    </row>
    <row r="7" spans="2:3" ht="27.6" customHeight="1">
      <c r="B7" s="1" t="s">
        <v>121</v>
      </c>
      <c r="C7" s="150">
        <v>180</v>
      </c>
    </row>
    <row r="8" spans="2:3" ht="24" customHeight="1">
      <c r="B8" s="1" t="s">
        <v>122</v>
      </c>
      <c r="C8" s="150">
        <f>SUM(C4:C7)</f>
        <v>22986</v>
      </c>
    </row>
    <row r="9" spans="2:3" ht="22.7" customHeight="1">
      <c r="B9" s="1" t="s">
        <v>123</v>
      </c>
      <c r="C9" s="150">
        <f>SUM(C8*15%)</f>
        <v>3447.9</v>
      </c>
    </row>
    <row r="10" spans="2:3" ht="27" customHeight="1">
      <c r="B10" s="1" t="s">
        <v>124</v>
      </c>
      <c r="C10" s="150">
        <f>SUM(C8+C9)</f>
        <v>26433.9</v>
      </c>
    </row>
  </sheetData>
  <mergeCells count="1">
    <mergeCell ref="B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d7fa2077615c78c97e943380e3d4d969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510175392076db6cd32077b40e721bb9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Props1.xml><?xml version="1.0" encoding="utf-8"?>
<ds:datastoreItem xmlns:ds="http://schemas.openxmlformats.org/officeDocument/2006/customXml" ds:itemID="{5046EBB5-38F8-4C82-B7D7-6FB46A533A74}"/>
</file>

<file path=customXml/itemProps2.xml><?xml version="1.0" encoding="utf-8"?>
<ds:datastoreItem xmlns:ds="http://schemas.openxmlformats.org/officeDocument/2006/customXml" ds:itemID="{267B1AEA-2040-4FF4-98A9-3A36BDA32BF5}"/>
</file>

<file path=customXml/itemProps3.xml><?xml version="1.0" encoding="utf-8"?>
<ds:datastoreItem xmlns:ds="http://schemas.openxmlformats.org/officeDocument/2006/customXml" ds:itemID="{E294E977-3238-4B77-9B7B-4CB2376692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SECTION 1</vt:lpstr>
      <vt:lpstr>SECTION 2</vt:lpstr>
      <vt:lpstr>SECTION 3</vt:lpstr>
      <vt:lpstr>SECTION 4</vt:lpstr>
      <vt:lpstr>SUMMARY OF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Calphenia Mohlala</dc:creator>
  <cp:lastModifiedBy>JULIET SEKIBA</cp:lastModifiedBy>
  <dcterms:created xsi:type="dcterms:W3CDTF">2025-04-03T17:52:07Z</dcterms:created>
  <dcterms:modified xsi:type="dcterms:W3CDTF">2025-04-17T09:01:03Z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</Properties>
</file>